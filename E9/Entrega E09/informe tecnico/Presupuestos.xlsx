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 Desarrollo" sheetId="1" r:id="rId4"/>
    <sheet state="visible" name="Software Proyecto" sheetId="2" r:id="rId5"/>
    <sheet state="visible" name="Hardware para proyecto" sheetId="3" r:id="rId6"/>
    <sheet state="visible" name="Software Cliente" sheetId="4" r:id="rId7"/>
    <sheet state="visible" name="Hardware Cliente" sheetId="5" r:id="rId8"/>
    <sheet state="visible" name="RecursoHumano" sheetId="6" r:id="rId9"/>
  </sheets>
  <definedNames/>
  <calcPr/>
  <extLst>
    <ext uri="GoogleSheetsCustomDataVersion2">
      <go:sheetsCustomData xmlns:go="http://customooxmlschemas.google.com/" r:id="rId10" roundtripDataChecksum="pQGxwb9FaA9QXXBmJ1XPqnvYLGMMDR3sN+ekjiEdeTU="/>
    </ext>
  </extLst>
</workbook>
</file>

<file path=xl/sharedStrings.xml><?xml version="1.0" encoding="utf-8"?>
<sst xmlns="http://schemas.openxmlformats.org/spreadsheetml/2006/main" count="702" uniqueCount="445">
  <si>
    <t>Hardware para el Desarrollo</t>
  </si>
  <si>
    <t>Propuesta 1</t>
  </si>
  <si>
    <t>Categoría / Equipo</t>
  </si>
  <si>
    <t>Especificación recomendada</t>
  </si>
  <si>
    <t>Descripcion</t>
  </si>
  <si>
    <t>por que lo recomendamos</t>
  </si>
  <si>
    <t>Referencia</t>
  </si>
  <si>
    <t>Precio unitario</t>
  </si>
  <si>
    <t>Cantidad total</t>
  </si>
  <si>
    <t>precio total</t>
  </si>
  <si>
    <t>Total de Hardware para el desarrollo</t>
  </si>
  <si>
    <t>Computadora basica</t>
  </si>
  <si>
    <t xml:space="preserve"> Ryzen 7, 16–32 GB RAM, SSD 512 GB – 1 TB, tarjeta gráfica RTX 3050 o superior.</t>
  </si>
  <si>
    <t>Un equipo con Intel Core i7 o Ryzen 7, 16–32 GB de RAM y SSD de 512 GB a 1 TB ofrece un rendimiento óptimo para programar y manejar múltiples entornos de desarrollo sin problemas. Ideal para quienes buscan potencia y durabilidad a largo plazo.</t>
  </si>
  <si>
    <t>Es gracias a que  son los mas potentes y recomendados debido a su múltiple uso en ámbitos muy pesados como la multitarea avanzada, cargas intensivas y destaca mucho en tareas de hilo  ya que cuenta con 8 núcleos y 16 hilos lo que mejora el rendimiento en apps Su capacidad gráfica integrada es superior para trabajos de diseño y edición ligeras sin necesidad de una GPU dedicada.</t>
  </si>
  <si>
    <t>PORTATIL HP AMD RYZEN 7-7730U SSD 512GB RAM 16GB LED 15,6 FULL HD HP | falabella.com</t>
  </si>
  <si>
    <t>Mouse</t>
  </si>
  <si>
    <t>.Mouse logitech g203 o superior</t>
  </si>
  <si>
    <t xml:space="preserve">Mouse de una buena calidad y ergonomico para evitar molestias a largo plazo </t>
  </si>
  <si>
    <t>Es por la buena calidad de estos mouses que son recomendables, tanto por su durabilidad como por su precisión y comodidad al usar</t>
  </si>
  <si>
    <t>https://www.alkosto.com/accesorios-electronica/accesorios-computadores/accesorios-gaming/mouse-pad-mouse-gamers/c/BI_A71_ALKOS?sort=relevance&amp;q=%3Arelevance%3Abrand%3ALOGITECH</t>
  </si>
  <si>
    <t>Placa de desarrollo</t>
  </si>
  <si>
    <t>Arduino UNO R3</t>
  </si>
  <si>
    <t>Se usa arduino UNO R3 ya que esta placa ya viene con conectividad a internet ademas de tener todas las entradas y funcionamientos necesarios como el manejo de los sensores</t>
  </si>
  <si>
    <t>Arduino Uno R3 Smd Compatible Con Arduino Ide (Incluye cable) | Cuotas sin interés</t>
  </si>
  <si>
    <t>Sensor de humedad y temperatura</t>
  </si>
  <si>
    <t>Modulo Dht 22 Sensor de temperatura y humedad</t>
  </si>
  <si>
    <t>sensor digital avanzado diseñado para medir con precisión tanto la temperatura como la humedad relativa del ambiente. Ideal para aplicaciones de monitoreo ambiental, este sensor proporciona lecturas confiables a través de una interfaz de comunicación de un solo cable, lo que facilita su integración en tus proyectos.</t>
  </si>
  <si>
    <t>Escojimos este sensor por su bajo costo por su precisión en la temperatura del 0.5 °c y su medicion de humedad que es lo optimo para el proyecto</t>
  </si>
  <si>
    <t>https://articulo.mercadolibre.com.co/MCO-2595667528-modulo-dht22-sensor-de-temperatura-y-humedad-arduino-cable-_JM#polycard_client=search-nordic&amp;search_layout=stack&amp;position=1&amp;type=item&amp;tracking_id=71edabc1-f2a5-4a94-ada6-e728f87dee6a&amp;wid=MCO2595667528&amp;sid=search</t>
  </si>
  <si>
    <t>Sensor de sonido</t>
  </si>
  <si>
    <t>Sensor Sonido Microfono Omnidireccional INMP441 I2S Alta Sensibilidad</t>
  </si>
  <si>
    <t>El INMP441 es un microfono MEMS omnidireccional de alto rendimiento, baja potencia, salida digital con puerto inferior</t>
  </si>
  <si>
    <t>Se escogio este debido a su bajo costo y buena calidad</t>
  </si>
  <si>
    <t>Sensor Sonido Microfono Omnidireccional INMP441 I2S Alta Sensibilidad - yorobotics</t>
  </si>
  <si>
    <t>Protoboard</t>
  </si>
  <si>
    <t>Prototype Board Kit 830 Puntos De Conexión</t>
  </si>
  <si>
    <t>El kit de componentes electrónicos es de tamaño delicado y liviano, conveniente for transportar y usar. Estuche de lastics for almacenamiento, poner las cosas en orden. Lámpara de señalización multicolor for diferenciar las diferentes funciones de los accesorios.</t>
  </si>
  <si>
    <t>Se esogio esta protoboard de este proveedor ya que se vende con un kit completo de componentes nesesarios para la elaboracion del producto</t>
  </si>
  <si>
    <t>. . .. Prototype Board Kit 830 Puntos De Conexión | Cuotas sin interés</t>
  </si>
  <si>
    <t>Propuesta 2</t>
  </si>
  <si>
    <t>Descripción</t>
  </si>
  <si>
    <t>Por qué lo recomendamos</t>
  </si>
  <si>
    <t>Precio unitario (COP)</t>
  </si>
  <si>
    <t>Cantidad</t>
  </si>
  <si>
    <t>Precio total</t>
  </si>
  <si>
    <t>Computadora básica</t>
  </si>
  <si>
    <t>Laptop Intel Core i5 12450H, 16GB RAM, SSD 512GB, RTX 2050</t>
  </si>
  <si>
    <t>Suficiente para programación avanzada y multitarea</t>
  </si>
  <si>
    <t>Reduce costo frente al Ryzen 7/i7, manteniendo buen rendimiento para desarrollo</t>
  </si>
  <si>
    <t>https://www.mercadolibre.com.co/notebook-gamer-lenovo-loq-15irh8-intel-core-i5-12450h-16gb-ram-512gb-ssd-rtx-2050-windows-11-home-pantalla-full-hd-de-156-83eu0001br/p/MCO29758046?pdp_filters=item_id%3AMCO1419981423&amp;from=gshop&amp;matt_tool=87083912&amp;matt_word=&amp;matt_source=google&amp;matt_campaign_id=22126928789&amp;matt_ad_group_id=173140661643&amp;matt_match_type=&amp;matt_network=g&amp;matt_device=c&amp;matt_creative=729917879882&amp;matt_keyword=&amp;matt_ad_position=&amp;matt_ad_type=pla&amp;matt_merchant_id=735127761&amp;matt_product_id=MCO29758046-product&amp;matt_product_partition_id=2389933078298&amp;matt_target_id=pla-2389933078298&amp;cq_src=google_ads&amp;cq_cmp=22126928789&amp;cq_net=g&amp;cq_plt=gp&amp;cq_med=pla&amp;gad_source=1&amp;gad_campaignid=22126928789&amp;gbraid=0AAAAAD1Dcoxwgwe7TOuh5fdrXP8fpx8va&amp;gclid=Cj0KCQjwovPGBhDxARIsAFhgkwTURJxE2oTcGmyfkvvGoXvRMWzIxuA4l8-qbr0yWYayNlhlMjf5YrEaAkL2EALw_wcB</t>
  </si>
  <si>
    <t>Logitech G203 o similar</t>
  </si>
  <si>
    <t>Mouse ergonómico y preciso</t>
  </si>
  <si>
    <t>Mismo estándar de calidad pero sin necesidad de modelos más costosos</t>
  </si>
  <si>
    <t>https://www.mercadolibre.com.co/logitech-g203-lightsync-mouse-gamer-rgb-6-botones-8000dpi-color-negro/p/MCO16211422?has_official_store=false&amp;highlight=false&amp;headerTopBrand=false#polycard_client=search-nordic&amp;search_layout=stack&amp;position=1&amp;type=product&amp;tracking_id=0a4c3af4-2b95-4bec-9e71-b56f23da5aff&amp;wid=MCO2886325518&amp;sid=search</t>
  </si>
  <si>
    <t>ESP32 DevKit V1</t>
  </si>
  <si>
    <t>Placa con Wi-Fi y Bluetooth integrado</t>
  </si>
  <si>
    <t>Sustituye a Arduino UNO, evitando necesidad de router adicional</t>
  </si>
  <si>
    <t>https://www.mercadolibre.com.co/esp32-wifi-bluetooth-devkit-v1-30-pines-usb-c/p/MCO2004162967?has_official_store=false&amp;highlight=false&amp;headerTopBrand=true#polycard_client=search-nordic&amp;search_layout=stack&amp;position=1&amp;type=product&amp;tracking_id=13d4efd7-d321-4622-bf69-45587147d565&amp;wid=MCO2894252204&amp;sid=search</t>
  </si>
  <si>
    <r>
      <rPr>
        <rFont val="Calibri"/>
        <b/>
        <color theme="1"/>
        <sz val="11.0"/>
      </rPr>
      <t>BME280</t>
    </r>
    <r>
      <rPr>
        <rFont val="Calibri"/>
        <b val="0"/>
        <color theme="1"/>
        <sz val="11.0"/>
      </rPr>
      <t xml:space="preserve"> (Temperatura, humedad y presión)</t>
    </r>
  </si>
  <si>
    <t>Sensor avanzado con más precisión que DHT22</t>
  </si>
  <si>
    <t>Mayor precisión y mide presión además, optimizando hardware</t>
  </si>
  <si>
    <t>https://articulo.mercadolibre.com.co/MCO-498220272-sensor-bme280-temperatura-humedad-presion-atmosferica-i2c-_JM#is_advertising=true&amp;backend_model=search-backend&amp;position=1&amp;search_layout=stack&amp;type=pad&amp;tracking_id=982a65ac-405d-4676-bd3a-7d0a08748996&amp;ad_domain=VQCATCORE_LST&amp;ad_position=1&amp;ad_click_id=ZWIxOTI5ZmMtOTcxNy00YjRkLWI2ODItOGVmOWZiY2FmYjM5</t>
  </si>
  <si>
    <t>INMP441 I2S</t>
  </si>
  <si>
    <t>Micrófono digital de alta sensibilidad</t>
  </si>
  <si>
    <t>Mantiene precisión con bajo consumo y salida digital</t>
  </si>
  <si>
    <t>https://articulo.mercadolibre.com.co/MCO-1398999973-microfono-omnidireccional-inmp441-interfaz-i2s-modulo-_JM</t>
  </si>
  <si>
    <t>830 pts + kit 120 jumpers</t>
  </si>
  <si>
    <t>Mayor espacio y accesorios para pruebas</t>
  </si>
  <si>
    <t>Más completo que los básicos de 400 pts</t>
  </si>
  <si>
    <t>https://www.mercadolibre.com.co/placa-de-pruebas-sin-soldadura-830-puntos-de-conexion/p/MCO2021219491</t>
  </si>
  <si>
    <t>Propuesta 3</t>
  </si>
  <si>
    <t>Laptop Intel i7 13620H, 40GB RAM, SSD 1TB, RTX 3050</t>
  </si>
  <si>
    <t>Potencia extra para desarrollo pesado (IA, simulaciones)</t>
  </si>
  <si>
    <t>Garantiza rendimiento futuro y tareas exigentes</t>
  </si>
  <si>
    <t>https://www.mercadolibre.com.co/acer-nitro-intel-core-i7-13620h-ssd-1tb-ram-40gb-rtx3050/up/MCOU3406105298?pdp_filters=item_id%3AMCO1662892717&amp;from=gshop&amp;matt_tool=87083912&amp;matt_word=&amp;matt_source=google&amp;matt_campaign_id=22126928789&amp;matt_ad_group_id=173140661643&amp;matt_match_type=&amp;matt_network=g&amp;matt_device=c&amp;matt_creative=729917879882&amp;matt_keyword=&amp;matt_ad_position=&amp;matt_ad_type=pla&amp;matt_merchant_id=268297330&amp;matt_product_id=MCOU3406105298&amp;matt_product_partition_id=2389933078298&amp;matt_target_id=pla-2389933078298&amp;cq_src=google_ads&amp;cq_cmp=22126928789&amp;cq_net=g&amp;cq_plt=gp&amp;cq_med=pla&amp;gad_source=1&amp;gad_campaignid=22126928789&amp;gbraid=0AAAAAD1Dcoxwgwe7TOuh5fdrXP8fpx8va&amp;gclid=Cj0KCQjwovPGBhDxARIsAFhgkwRZU2QAOjxs3BPvAvKfTiYA8C5QaAsmdhLhjKBXPOWMz3SBfmSsgY8aApa5EALw_wcB</t>
  </si>
  <si>
    <t>Logitech G Pro X Superlight</t>
  </si>
  <si>
    <t>Mouse premium ultraligero</t>
  </si>
  <si>
    <t>Mayor ergonomía y precisión en trabajos largos</t>
  </si>
  <si>
    <t>https://www.mercadolibre.com.co/logitech-g-pro-x-superlight-2-mouse-gamer-inalambrico-blk-color-negro/p/MCO28566394?has_official_store=false&amp;highlight=false&amp;headerTopBrand=true#polycard_client=search-nordic&amp;search_layout=stack&amp;position=1&amp;type=product&amp;tracking_id=bda3adbb-260d-4ee2-bc72-2eab967a1729&amp;wid=MCO2073065140&amp;sid=search</t>
  </si>
  <si>
    <t>Arduino MEGA 2560</t>
  </si>
  <si>
    <t>Más pines y memoria que Arduino UNO</t>
  </si>
  <si>
    <t>Ideal si el proyecto crece en cantidad de sensores</t>
  </si>
  <si>
    <t>https://articulo.mercadolibre.com.co/MCO-1354432905-arduino-mega-2560-mega2560-ch340-compatible-cable-usb-_JM#is_advertising=true&amp;backend_model=search-backend&amp;position=1&amp;search_layout=stack&amp;type=pad&amp;tracking_id=f589c2cc-1c06-452c-b7ae-d277e7c8039e&amp;ad_domain=VQCATCORE_LST&amp;ad_position=1&amp;ad_click_id=Y2ZiZTgzZWEtMmExYy00ZmY2LWE5ZmEtODFmNjYzM2YwNDBk</t>
  </si>
  <si>
    <t>SHT31</t>
  </si>
  <si>
    <t>Sensor de alta precisión y respuesta rápida</t>
  </si>
  <si>
    <t>Más estable y duradero que BME280/DHT22</t>
  </si>
  <si>
    <t>https://www.mercadolibre.com.co/sensor-de-temperatura-y-humedad-sht31/up/MCOU2432083382?has_official_store=false&amp;highlight=false&amp;headerTopBrand=false#polycard_client=search-nordic&amp;search_layout=stack&amp;position=1&amp;type=product&amp;tracking_id=93bb6289-9df5-498f-8f06-2016fe7e86c1&amp;wid=MCO464853642&amp;sid=search</t>
  </si>
  <si>
    <t>SPH0645 MEMS digital</t>
  </si>
  <si>
    <t>Mejor respuesta que INMP441</t>
  </si>
  <si>
    <t>Alta fidelidad en medición de ruido ambiental</t>
  </si>
  <si>
    <t>https://articulo.mercadolibre.com.co/MCO-1555816665-por-14und-sph0645-modulo-microfono-digital-i2s-audio-mono-_JM</t>
  </si>
  <si>
    <t>Kit premium 3220 puntos + jumpers</t>
  </si>
  <si>
    <t>Permite proyectos grandes y escalables</t>
  </si>
  <si>
    <t>Mayor robustez y espacio de conexión</t>
  </si>
  <si>
    <t>https://articulo.mercadolibre.com.co/MCO-1508006425-breadboard-solderless-3220-puntos-placa-de-prueba-electronic-_JM</t>
  </si>
  <si>
    <t>Hardware Seleccionado</t>
  </si>
  <si>
    <t>Total</t>
  </si>
  <si>
    <t>Intel i7 13620H / Ryzen 7 7730U, 16GB RAM, SSD 1TB, RTX 3050</t>
  </si>
  <si>
    <t>Laptop de alto rendimiento para programación y simulaciones</t>
  </si>
  <si>
    <t>Equilibrio entre Ryzen 7 (Opción 1) e i7 13620H (Opción 3), potencia y durabilidad sin sobrecosto gamer</t>
  </si>
  <si>
    <t>Mouse ergonómico y duradero</t>
  </si>
  <si>
    <t>Combina bajo costo (Opción 1) y confiabilidad. No se justifica un mouse premium (Opción 3)</t>
  </si>
  <si>
    <t>Más moderna que Arduino UNO y más práctica que MEGA. Incluye conectividad nativa, evitando módulos externos</t>
  </si>
  <si>
    <t>BME280 (T°, Humedad, Presión)</t>
  </si>
  <si>
    <t>Sensor ambiental de alta precisión</t>
  </si>
  <si>
    <t>Mejor que DHT22 (Opción 1) y más económico que SHT31 (Opción 3). Preciso y versátil</t>
  </si>
  <si>
    <t>INMP441 I2S MEMS digital</t>
  </si>
  <si>
    <t>Micrófono de alta sensibilidad y bajo consumo</t>
  </si>
  <si>
    <t>Balancea costo y calidad: mejor que KY-038 y más económico que SPH0645</t>
  </si>
  <si>
    <t>Sensor de calidad del aire (CO₂ / gases)</t>
  </si>
  <si>
    <t>MQ-135</t>
  </si>
  <si>
    <t>Sensor analógico para CO₂ y gases contaminantes</t>
  </si>
  <si>
    <t>Económico, fácil de integrar y ampliamente usado en proyectos ambientales</t>
  </si>
  <si>
    <t>https://www.mercadolibre.com.co/sensor-mq135--mq135-calidad-del-aire/up/MCOU2434376914?has_official_store=false&amp;highlight=true&amp;headerTopBrand=false#polycard_client=search-nordic&amp;search_layout=stack&amp;position=3&amp;type=product&amp;tracking_id=d76254d1-269b-4521-b9c9-bc81bc202c44&amp;wid=MCO592550458&amp;sid=search</t>
  </si>
  <si>
    <t>Software Para el Proyecto</t>
  </si>
  <si>
    <t>Propuesta 1 –  Proyecto</t>
  </si>
  <si>
    <t>Categoría</t>
  </si>
  <si>
    <t>Especificación Recomendada</t>
  </si>
  <si>
    <t>Precio</t>
  </si>
  <si>
    <t>Total Propuesta 1</t>
  </si>
  <si>
    <t>Sistema Operativo</t>
  </si>
  <si>
    <t>Windows 10 Pro</t>
  </si>
  <si>
    <t>Compatible y estable para equipos de desarrollo</t>
  </si>
  <si>
    <t>IDE</t>
  </si>
  <si>
    <t>Visual Studio Code</t>
  </si>
  <si>
    <t>Editor ligero, extensible, soporta múltiples lenguajes</t>
  </si>
  <si>
    <t>Gratuito</t>
  </si>
  <si>
    <t>Lenguaje Backend</t>
  </si>
  <si>
    <t>JavaScript (Node.js)</t>
  </si>
  <si>
    <t>Popular, multiplataforma y escalable</t>
  </si>
  <si>
    <t>Lenguaje Frontend</t>
  </si>
  <si>
    <t>HTML5 + CSS3 + JavaScript</t>
  </si>
  <si>
    <t>Estándar en desarrollo web</t>
  </si>
  <si>
    <t>Base de Datos</t>
  </si>
  <si>
    <t>MySQL</t>
  </si>
  <si>
    <t>Relacional, fácil de usar e instalar</t>
  </si>
  <si>
    <t>Control de Versiones</t>
  </si>
  <si>
    <t>Git + GitHub</t>
  </si>
  <si>
    <t>Estándar en control de versiones y CI/CD</t>
  </si>
  <si>
    <t>Modelado</t>
  </si>
  <si>
    <t>Visual Paradigm</t>
  </si>
  <si>
    <t>Diagramación rápida y accesible</t>
  </si>
  <si>
    <t>Servidor/Web</t>
  </si>
  <si>
    <t>VPS: 4 vCores, 8GB RAM, 80GB SSD</t>
  </si>
  <si>
    <t>Hosting de backend y frontend</t>
  </si>
  <si>
    <t>Servidor BD</t>
  </si>
  <si>
    <t>VPS: 4 vCores, 8GB RAM, 50GB SSD</t>
  </si>
  <si>
    <t>Motor MySQL/PostgreSQL</t>
  </si>
  <si>
    <t>Almacenamiento</t>
  </si>
  <si>
    <t>100 GB S3 / Blob Storage</t>
  </si>
  <si>
    <t>Respaldo y archivos en la nube</t>
  </si>
  <si>
    <t>Total Propuesta 2</t>
  </si>
  <si>
    <t>Ubuntu Linux LTS</t>
  </si>
  <si>
    <t>Estable, seguro y gratuito</t>
  </si>
  <si>
    <t>Eclipse IDE / IntelliJ Community</t>
  </si>
  <si>
    <t>Entorno con soporte robusto para Java y Node.js</t>
  </si>
  <si>
    <t>Python (Django / Flask)</t>
  </si>
  <si>
    <t>Gran comunidad, rápido desarrollo web</t>
  </si>
  <si>
    <t>React.js</t>
  </si>
  <si>
    <t>Framework popular, flexible y moderno</t>
  </si>
  <si>
    <t>PostgreSQL</t>
  </si>
  <si>
    <t>Potente, seguro, ampliamente documentado</t>
  </si>
  <si>
    <t>GitLab CE</t>
  </si>
  <si>
    <t>Alternativa open source a GitHub, autoservicio</t>
  </si>
  <si>
    <t>Draw.io</t>
  </si>
  <si>
    <t>Herramienta de diagramación en la nube</t>
  </si>
  <si>
    <t>VPS: 2 vCores, 4GB RAM, 40GB SSD</t>
  </si>
  <si>
    <t>Hosting más básico</t>
  </si>
  <si>
    <t>VPS: 2 vCores, 4GB RAM, 20GB SSD</t>
  </si>
  <si>
    <t>50 GB en almacenamiento propio</t>
  </si>
  <si>
    <t>Respaldo básico</t>
  </si>
  <si>
    <t>Total Propuesta 3</t>
  </si>
  <si>
    <t>Windows Server 2022 Datacenter</t>
  </si>
  <si>
    <t>Con soporte empresarial extendido</t>
  </si>
  <si>
    <t>$9.000.000 aprox.</t>
  </si>
  <si>
    <t>Visual Studio Enterprise</t>
  </si>
  <si>
    <t>IDE profesional completo con soporte Microsoft</t>
  </si>
  <si>
    <t>Java (Spring Boot)</t>
  </si>
  <si>
    <t>Altamente escalable y robusto</t>
  </si>
  <si>
    <t>Angular</t>
  </si>
  <si>
    <t>Framework de Google, mantenible y escalable</t>
  </si>
  <si>
    <t>Oracle DB</t>
  </si>
  <si>
    <t>Base empresarial con soporte extendido</t>
  </si>
  <si>
    <t>Azure DevOps</t>
  </si>
  <si>
    <t>Integración completa con CI/CD empresarial</t>
  </si>
  <si>
    <t>Incluido en Azure</t>
  </si>
  <si>
    <t>Enterprise Architect</t>
  </si>
  <si>
    <t>Modelado profesional UML / BPMN</t>
  </si>
  <si>
    <t>AWS EC2 m5.large</t>
  </si>
  <si>
    <t>Infraestructura flexible y escalable</t>
  </si>
  <si>
    <t>$250.000/mes</t>
  </si>
  <si>
    <t>AWS RDS Oracle 4 vCPU, 16GB RAM</t>
  </si>
  <si>
    <t>Base gestionada en la nube</t>
  </si>
  <si>
    <t>$600.000/mes</t>
  </si>
  <si>
    <t>AWS S3 1TB</t>
  </si>
  <si>
    <t>Almacenamiento seguro y escalable</t>
  </si>
  <si>
    <t>$150.000/mes</t>
  </si>
  <si>
    <t>Selección Final</t>
  </si>
  <si>
    <t>¿Por qué lo recomendamos?</t>
  </si>
  <si>
    <t xml:space="preserve">Precio Unitario </t>
  </si>
  <si>
    <t>Precio Total</t>
  </si>
  <si>
    <t>Total de Software para el Proyecto</t>
  </si>
  <si>
    <t>Sistema operativo estable y con funciones avanzadas para usuarios profesionales</t>
  </si>
  <si>
    <t>Windows es el más usado y recomendado por su compatibilidad y facilidad de uso</t>
  </si>
  <si>
    <t>IDE de Desarrollo</t>
  </si>
  <si>
    <t>Editor de código ligero, extensible, con amplio soporte</t>
  </si>
  <si>
    <t>Práctico, rápido y con gran comunidad de apoyo</t>
  </si>
  <si>
    <t>Lenguaje robusto y multiplataforma</t>
  </si>
  <si>
    <t>Muy usado en empresas, escalable y multiplataforma</t>
  </si>
  <si>
    <t>Tecnologías base para desarrollo frontend</t>
  </si>
  <si>
    <t>Opciones completas para interfaces responsivas y dinámicas</t>
  </si>
  <si>
    <t>Sistema de gestión de base de datos relacional</t>
  </si>
  <si>
    <t>Práctico, ampliamente soportado y fácil de instalar</t>
  </si>
  <si>
    <t>Control distribuido y colaborativo</t>
  </si>
  <si>
    <t>Estándar actual en proyectos y CI/CD</t>
  </si>
  <si>
    <t>Herramientas de Modelado</t>
  </si>
  <si>
    <t>Herramienta gráfica para diagramación</t>
  </si>
  <si>
    <t>Accesible y práctica para diagramas rápidos</t>
  </si>
  <si>
    <t>Servidor Web</t>
  </si>
  <si>
    <t>VPS 4 vCores, 8 GB RAM, 80 GB SSD</t>
  </si>
  <si>
    <t>Servidor para correr backend y frontend</t>
  </si>
  <si>
    <t>Equilibrio costo/rendimiento</t>
  </si>
  <si>
    <t>VPS 4 vCores, 8 GB RAM, 50 GB SSD</t>
  </si>
  <si>
    <t>Motor de base de datos (MySQL, PostgreSQL, MongoDB)</t>
  </si>
  <si>
    <t>Separación de cargas y estabilidad</t>
  </si>
  <si>
    <t>Almacenamiento Archivos</t>
  </si>
  <si>
    <t>100 GB en S3 / Blob Storage</t>
  </si>
  <si>
    <t>Guardar imágenes, documentos y respaldos</t>
  </si>
  <si>
    <t>Escalable y accesible desde la nube</t>
  </si>
  <si>
    <t>Arduino Propuesta 1</t>
  </si>
  <si>
    <t>Primera Opción</t>
  </si>
  <si>
    <t>Opción 1</t>
  </si>
  <si>
    <t>Precio Referencia (COP)</t>
  </si>
  <si>
    <t>Precio de Opción 1 Para El Proyecto</t>
  </si>
  <si>
    <t>Controlador principal para leer sensores y enviar datos</t>
  </si>
  <si>
    <t>https://www.mercadolibre.com.co/arduino-uno-r3-smd-compatible-con-arduino-ide-incluye-cable/p/MCO39241687#polycard_client=search-nordic&amp;search_layout=stack&amp;position=1&amp;type=product&amp;tracking_id=e9b640a9-9974-41b3-a27b-0f259dbf927b&amp;wid=MCO2928116382&amp;sid=search</t>
  </si>
  <si>
    <t>Sensor Temperatura/Humedad</t>
  </si>
  <si>
    <t>DHT11</t>
  </si>
  <si>
    <t>Monitorea condiciones térmicas del aula</t>
  </si>
  <si>
    <t>https://articulo.mercadolibre.com.co/MCO-1526021732-modulo-sensor-temperatura-y-humedad-esp8266-esp01-dht11-wifi-_JM#is_advertising=true&amp;backend_model=search-backend&amp;position=1&amp;search_layout=stack&amp;type=pad&amp;tracking_id=fccaea76-edd4-442c-9966-080c9e137701&amp;ad_domain=VQCATCORE_LST&amp;ad_position=1&amp;ad_click_id=OTM0MzJkZjktMWYxNi00YjU5LThhOTMtZGRmMDYxNjc1NWE0</t>
  </si>
  <si>
    <t xml:space="preserve">
20.800</t>
  </si>
  <si>
    <t>Sensor de CO₂</t>
  </si>
  <si>
    <t>MQ-135 (básico)</t>
  </si>
  <si>
    <t>Detecta concentración de dióxido de carbono</t>
  </si>
  <si>
    <t>https://articulo.mercadolibre.com.co/MCO-512369193-sensor-mq-135-mq135-calidad-del-aire-arduino-co2-_JM#polycard_client=search-nordic&amp;search_layout=stack&amp;position=4&amp;type=item&amp;tracking_id=fb159bdf-3bff-4807-8462-d37cdbac31ff&amp;wid=MCO512369193&amp;sid=search</t>
  </si>
  <si>
    <t>Sensor de Ruido</t>
  </si>
  <si>
    <t>KY-038 (analógico)</t>
  </si>
  <si>
    <t>Mide niveles de ruido en el aula</t>
  </si>
  <si>
    <t>https://articulo.mercadolibre.com.co/MCO-446819100-sensor-ruido-ky-037-sonido-modulo-detector-robotica-_JM?searchVariation=176388558545#polycard_client=search-nordic&amp;searchVariation=176388558545&amp;search_layout=stack&amp;position=1&amp;type=item&amp;tracking_id=4b7870ec-1795-472d-a305-7ff04d05f680</t>
  </si>
  <si>
    <t>Protoboard y cables</t>
  </si>
  <si>
    <t>Protoboard 400 pts + jumpers básicos</t>
  </si>
  <si>
    <t>Para pruebas de conexión de sensores</t>
  </si>
  <si>
    <t>https://www.mercadolibre.com.co/-prototype-board-kit-830-puntos-de-conexion/p/MCO2005563407#polycard_client=search-nordic&amp;search_layout=stack&amp;position=3&amp;type=product&amp;tracking_id=577cf021-a809-44d4-a2c3-655b4b407fbc&amp;wid=MCO2865439662&amp;sid=search</t>
  </si>
  <si>
    <t>Fuente de alimentación</t>
  </si>
  <si>
    <t>USB 5V desde PC</t>
  </si>
  <si>
    <t>Para alimentar sensores y placas en pruebas largas</t>
  </si>
  <si>
    <t>https://articulo.mercadolibre.com.co/MCO-516407243-adaptador-regulador-transformador-acdc-100-240v-5v-2a-_JM#is_advertising=true&amp;backend_model=search-backend&amp;position=1&amp;search_layout=stack&amp;type=pad&amp;tracking_id=a1e6c6a9-fc92-412a-8368-fa8364d1dbb3&amp;ad_domain=VQCATCORE_LST&amp;ad_position=1&amp;ad_click_id=YTIxNTAyYzUtZDg1Ny00MjI3LWE3ZmQtZmMyYmFjMTg3ODZh</t>
  </si>
  <si>
    <t xml:space="preserve">
18.500</t>
  </si>
  <si>
    <t>Laptop de desarrollo</t>
  </si>
  <si>
    <t xml:space="preserve">RYZEN 5 7535HS ,RAM 32GB DDR5, SSD 1TB, RTX 3050 4GB </t>
  </si>
  <si>
    <t>Programar Arduino, API y aplicaciones</t>
  </si>
  <si>
    <t>https://www.falabella.com.co/falabella-co/product/145112251/ASUS-TUF-A15-AMD-RYZEN-5-7535HS-SSD-1TB-RAM-32GB-DDR5-15,6-FHD-RTX-3050-4GB/145112252</t>
  </si>
  <si>
    <t>Router de pruebas</t>
  </si>
  <si>
    <t>Wi-Fi 4 (150 Mbps)</t>
  </si>
  <si>
    <t>Comunicación entre Arduino y plataforma</t>
  </si>
  <si>
    <t>Arduino Propuesta 2</t>
  </si>
  <si>
    <t xml:space="preserve">Segunda Opción </t>
  </si>
  <si>
    <t>Opción 2</t>
  </si>
  <si>
    <t>Precio de Opción 2 Para El Proyecto</t>
  </si>
  <si>
    <t>Arduino Mega 2560</t>
  </si>
  <si>
    <t>https://www.mercadolibre.com.co/placa-mega-atmega-2560-ch340-compatible-con-arduino/p/MCO39027742#polycard_client=search-nordic&amp;search_layout=stack&amp;position=1&amp;type=product&amp;tracking_id=1347862a-f1c8-42b4-bc85-2bc7104eb1f3&amp;wid=MCO2854613514&amp;sid=search</t>
  </si>
  <si>
    <t>DHT22</t>
  </si>
  <si>
    <t>CCS811 (CO₂ y VOC)</t>
  </si>
  <si>
    <t>https://www.aliexpress.com/p/tesla-landing/index.html?scenario=c_ppc_item_bridge&amp;productId=1005001883572051&amp;_immersiveMode=true&amp;withMainCard=true&amp;src=google&amp;aff_platform=true&amp;isdl=y&amp;src=google&amp;albch=shopping&amp;acnt=615-992-9880&amp;isdl=y&amp;slnk=&amp;plac=&amp;mtctp=&amp;albbt=Google_7_shopping&amp;aff_platform=google&amp;aff_short_key=_oFgTQeV&amp;gclsrc=aw.ds&amp;&amp;albagn=888888&amp;&amp;ds_e_adid=&amp;ds_e_matchtype=&amp;ds_e_device=c&amp;ds_e_network=x&amp;ds_e_product_group_id=&amp;ds_e_product_id=es1005001883572051&amp;ds_e_product_merchant_id=109225974&amp;ds_e_product_country=CO&amp;ds_e_product_language=es&amp;ds_e_product_channel=online&amp;ds_e_product_store_id=&amp;ds_url_v=2&amp;albcp=22486112365&amp;albag=&amp;isSmbAutoCall=false&amp;needSmbHouyi=false&amp;gad_source=1&amp;gad_campaignid=22486182460&amp;gbraid=0AAAAA_TvRHov0S3k1S0QlhXnhwN-JzGR2&amp;gclid=Cj0KCQjw3OjGBhDYARIsADd-uX4Z_tIUjQb-F1XsvbhuwxaxO5LY3pGm6tjaiFNB6aCQDrk_8iu1eM8aAr4fEALw_wcB</t>
  </si>
  <si>
    <t>LM393 (digital)</t>
  </si>
  <si>
    <t>https://articulo.mercadolibre.com.co/MCO-938013356-modulo-sensor-de-sonido-ajustable-lm393-rojo-_JM#polycard_client=search-nordic&amp;search_layout=stack&amp;position=3&amp;type=item&amp;tracking_id=ed4859f8-7dd4-4f40-95b6-831ea6ed1b8c&amp;wid=MCO938013356&amp;sid=search</t>
  </si>
  <si>
    <t>Protoboard 830 pts + kit 65 cables</t>
  </si>
  <si>
    <t>https://www.mercadolibre.com.co/protoboard-400-puntos/up/MCOU2432027170#polycard_client=search-nordic&amp;search_layout=stack&amp;position=2&amp;type=product&amp;tracking_id=ccce2e0b-5097-4738-b12e-d4b8ffcdf4d6&amp;wid=MCO451706955&amp;sid=search}</t>
  </si>
  <si>
    <t>Adaptador 5V 2A</t>
  </si>
  <si>
    <t>https://www.imtecnologia.co/tienda/celulares/accesorios-para-celular/cargadores-para-celular/cargador-usb-5v-a-1a-cable-micro-usb-tipo-galaxy/</t>
  </si>
  <si>
    <t xml:space="preserve">RYZEN 7-7730U, 16 GB RAM, SSD 512GB </t>
  </si>
  <si>
    <t>https://www.falabella.com.co/falabella-co/product/127619966/PORTATIL-HP-AMD-RYZEN-7-7730U-SSD-512GB-RAM-16GB-LED-15,6-FULL-HD/127619968</t>
  </si>
  <si>
    <t>Wi-Fi 5 (300 Mbps, doble banda)</t>
  </si>
  <si>
    <t>Arduino Propuesta 3</t>
  </si>
  <si>
    <t>Tercera Opción</t>
  </si>
  <si>
    <t>Opción 3</t>
  </si>
  <si>
    <t>Precio de Opción 3 Para El Proyecto</t>
  </si>
  <si>
    <t>ESP32 (Wi-Fi y Bluetooth integrado)</t>
  </si>
  <si>
    <t>https://articulo.mercadolibre.com.co/MCO-1462873259-tarjeta-wifi-bluetooth-esp32-wroom-_JM</t>
  </si>
  <si>
    <t>BME280 (temperatura, humedad y presión)</t>
  </si>
  <si>
    <t>https://articulo.mercadolibre.com.co/MCO-562549343-sensor-de-presion-temperatura-y-humedad-bme280-_JM#polycard_client=search-nordic&amp;search_layout=stack&amp;position=2&amp;type=item&amp;tracking_id=a57e4819-8c4c-4a66-b1ce-5b4a7ce33346&amp;wid=MCO562549343&amp;sid=search</t>
  </si>
  <si>
    <t>MH-Z19C (NDIR, alta precisión)</t>
  </si>
  <si>
    <t>https://articulo.mercadolibre.com.co/MCO-1675280297-sensor-co2-dioxido-carbono-mh-z19c-infrarrojo-4005000ppm-_JM#polycard_client=search-nordic&amp;search_layout=stack&amp;position=1&amp;type=item&amp;tracking_id=1a623041-3613-4046-8785-5a89b9dae6fa&amp;wid=MCO1675280297&amp;sid=search</t>
  </si>
  <si>
    <t>Micrófono MEMS con salida digital</t>
  </si>
  <si>
    <t>https://www.didacticaselectronicas.com/shop/mp34dt01-microfono-digital-mems-mp34dt01-40831#attr=</t>
  </si>
  <si>
    <t>Protoboard doble + kit 120 cables premium</t>
  </si>
  <si>
    <t>https://www.mercadolibre.com.co/120-pcs-cables-dupont-h-h-m-m-h-m-10cm-para-arduino/p/MCO2020362676</t>
  </si>
  <si>
    <t>Power Bank 10.000 mAh / Fuente regulada</t>
  </si>
  <si>
    <t>https://www.mercadolibre.com.co/power-bank-bateria-portatil-10000mah-con-built-in-4-cables-micro-usb-v8-ip-tipo-c-1hora-con-pantalla-digital-cargador-de-bateria-compatible-con-iphone-16-15-14-13-12-samsung-s22-s21-xiaomi-huawei/p/MCO21334121#polycard_client=search-nordic&amp;search_layout=stack&amp;position=3&amp;type=product&amp;tracking_id=b11923e9-6c78-4673-89a8-50f4b9bc819c&amp;wid=MCO1389645235&amp;sid=search</t>
  </si>
  <si>
    <t xml:space="preserve"> I7 13620h, Ram 16gb, SSD 1 TB</t>
  </si>
  <si>
    <t>https://www.mercadolibre.com.co/portatil--asus-intel-core-i7-13620h-ram-16gb-ssd-1tb-fhd/up/MCOU3221060360?pdp_filters=item_id:MCO1595281025</t>
  </si>
  <si>
    <t>Wi-Fi 6 (600+ Mbps, alta estabilidad)</t>
  </si>
  <si>
    <t>Componente Seleccionado</t>
  </si>
  <si>
    <t>Razón y Justificación de Elección</t>
  </si>
  <si>
    <t>Precio Ref. (COP)</t>
  </si>
  <si>
    <t>Precio Total Para El Hardware del Proyecto</t>
  </si>
  <si>
    <t>Se selecciona porque incluye conectividad Wi-Fi y Bluetooth integrada, evitando necesidad de un router adicional, tiene mayor capacidad de procesamiento que Arduino UNO y MEGA, y sigue siendo económico.</t>
  </si>
  <si>
    <t>Escogido por su mayor precisión frente a DHT11/DHT22, y porque mide tres variables (T°, humedad y presión) en un solo módulo, optimizando hardware.</t>
  </si>
  <si>
    <t>Esta combinación recoge lo mejor de las tres opciones: precisión, conectividad integrada, rendimiento y optimización de costos.</t>
  </si>
  <si>
    <t>Se selecciona por su tecnología NDIR, más precisa y confiable que MQ-135 o CCS811, garantizando datos ambientales de calidad.</t>
  </si>
  <si>
    <t>Micrófono MEMS digital</t>
  </si>
  <si>
    <t>Fue elegido por su mayor sensibilidad y estabilidad respecto a KY-038 o LM393, con salida digital que mejora la precisión.</t>
  </si>
  <si>
    <t>Protoboard 830 pts + kit 120 cables premium</t>
  </si>
  <si>
    <t>Se selecciona un kit completo y de mayor capacidad que el de 400 pts, facilitando montajes más complejos y duraderos.</t>
  </si>
  <si>
    <t>Alimenta sensores y placas en pruebas largas</t>
  </si>
  <si>
    <t>Elegido porque permite movilidad, autonomía y estabilidad energética, mejor que un simple USB desde PC o cargador básico.</t>
  </si>
  <si>
    <t>Balancea costo y rendimiento, suficiente para compilar, simular y programar sin necesidad de un equipo gamer más costoso.</t>
  </si>
  <si>
    <t>Integrado en ESP32 (Wi-Fi 2.4 GHz)</t>
  </si>
  <si>
    <t>No se requiere router adicional, ya que el ESP32 incorpora Wi-Fi nativo.</t>
  </si>
  <si>
    <t>Propuesta 1 – Cliente</t>
  </si>
  <si>
    <t>TOTAL  (anual)</t>
  </si>
  <si>
    <t>SO Cliente</t>
  </si>
  <si>
    <t>Ampliamente usado, estable y compatible</t>
  </si>
  <si>
    <t>Navegador</t>
  </si>
  <si>
    <t>Google Chrome / Edge</t>
  </si>
  <si>
    <t>Estándar web moderno</t>
  </si>
  <si>
    <t>Suite Ofimática</t>
  </si>
  <si>
    <t>Microsoft Office 365 (Business Basic)</t>
  </si>
  <si>
    <t>Herramientas completas en la nube</t>
  </si>
  <si>
    <t>$25.000 / mes</t>
  </si>
  <si>
    <t>Correo y colaboración</t>
  </si>
  <si>
    <t>Outlook + Teams</t>
  </si>
  <si>
    <t>Comunicación y trabajo colaborativo</t>
  </si>
  <si>
    <t>Incluido en Office 365</t>
  </si>
  <si>
    <t>Cliente BD</t>
  </si>
  <si>
    <t>MySQL Workbench</t>
  </si>
  <si>
    <t>Herramienta para consultas y administración</t>
  </si>
  <si>
    <t>Seguridad</t>
  </si>
  <si>
    <t>Antivirus Windows Defender</t>
  </si>
  <si>
    <t>Integrado en Windows</t>
  </si>
  <si>
    <t>Propuesta 2 – Cliente</t>
  </si>
  <si>
    <t>TOTAL. (anual)</t>
  </si>
  <si>
    <t>Ubuntu 22.04 LTS</t>
  </si>
  <si>
    <t>Gratuito, seguro y de bajo consumo</t>
  </si>
  <si>
    <r>
      <rPr>
        <rFont val="Calibri"/>
        <b/>
        <color theme="1"/>
        <sz val="11.0"/>
      </rPr>
      <t>$0</t>
    </r>
    <r>
      <rPr>
        <rFont val="Calibri"/>
        <b val="0"/>
        <color theme="1"/>
        <sz val="11.0"/>
      </rPr>
      <t xml:space="preserve"> (solo soporte técnico si aplica)</t>
    </r>
  </si>
  <si>
    <t>Firefox ESR</t>
  </si>
  <si>
    <t>Compatible y open source</t>
  </si>
  <si>
    <t>LibreOffice</t>
  </si>
  <si>
    <t>Alternativa gratuita a MS Office</t>
  </si>
  <si>
    <t>Thunderbird + Nextcloud Talk</t>
  </si>
  <si>
    <t>Gestión de correo y chat libre</t>
  </si>
  <si>
    <t>DBeaver Community</t>
  </si>
  <si>
    <t>Cliente universal para múltiples BD</t>
  </si>
  <si>
    <t>UFW + ClamAV</t>
  </si>
  <si>
    <t>Firewall + Antivirus open source</t>
  </si>
  <si>
    <t>Propuesta 3 – Cliente</t>
  </si>
  <si>
    <t>Windows 11 Pro</t>
  </si>
  <si>
    <t>Última versión con soporte extendido</t>
  </si>
  <si>
    <t>Microsoft Edge Chromium</t>
  </si>
  <si>
    <t>Integración con Windows y Office</t>
  </si>
  <si>
    <t>Microsoft 365 E3</t>
  </si>
  <si>
    <t>Herramientas avanzadas + seguridad</t>
  </si>
  <si>
    <t>$70.000 / mes</t>
  </si>
  <si>
    <t>Exchange Online + Teams</t>
  </si>
  <si>
    <t>Integrado en la nube</t>
  </si>
  <si>
    <t>Incluido en 365</t>
  </si>
  <si>
    <t>DataGrip (JetBrains)</t>
  </si>
  <si>
    <t>Cliente avanzado para múltiples BD</t>
  </si>
  <si>
    <t>$100.000 / año</t>
  </si>
  <si>
    <t>BitDefender Endpoint</t>
  </si>
  <si>
    <t>Antivirus empresarial</t>
  </si>
  <si>
    <t>$80.000 / año</t>
  </si>
  <si>
    <t>Seleccionado</t>
  </si>
  <si>
    <t>Justificación</t>
  </si>
  <si>
    <t>TOTAL (anual)</t>
  </si>
  <si>
    <t>Windows 10 Pro (Propuesta 1)</t>
  </si>
  <si>
    <t>Más económico que Win 11 y con soporte hasta 2025.</t>
  </si>
  <si>
    <t>Google Chrome</t>
  </si>
  <si>
    <t>Popular, compatible con todas las aplicaciones web.</t>
  </si>
  <si>
    <t>Office 365 Business Basic</t>
  </si>
  <si>
    <t>Asegura integración y trabajo colaborativo a bajo costo.</t>
  </si>
  <si>
    <t>Incluido en Office 365, estandarizado en empresas.</t>
  </si>
  <si>
    <t>Gratuito, suficiente para el uso de cliente.</t>
  </si>
  <si>
    <t>Windows Defender</t>
  </si>
  <si>
    <t>Integrado, sin costo adicional y suficiente para cliente estándar.</t>
  </si>
  <si>
    <t>Recomendaciones para el Cliente</t>
  </si>
  <si>
    <t>Recomendación 1</t>
  </si>
  <si>
    <t>Laptop / Celular</t>
  </si>
  <si>
    <t>Configuración destacada</t>
  </si>
  <si>
    <t>Laptop básica</t>
  </si>
  <si>
    <r>
      <rPr>
        <rFont val="Calibri"/>
        <b/>
        <color theme="1"/>
        <sz val="11.0"/>
      </rPr>
      <t>HP 14-dq0530la</t>
    </r>
    <r>
      <rPr>
        <rFont val="Calibri"/>
        <b val="0"/>
        <color theme="1"/>
        <sz val="11.0"/>
      </rPr>
      <t xml:space="preserve"> (Intel Celeron, 8GB RAM, 256GB SSD)</t>
    </r>
  </si>
  <si>
    <t>Portátil bastante básico para acceder al sistema, tareas ligeras</t>
  </si>
  <si>
    <t>Laptop media</t>
  </si>
  <si>
    <r>
      <rPr>
        <rFont val="Calibri"/>
        <b/>
        <color theme="1"/>
        <sz val="11.0"/>
      </rPr>
      <t>Lenovo IdeaPad Slim 3</t>
    </r>
    <r>
      <rPr>
        <rFont val="Calibri"/>
        <b val="0"/>
        <color theme="1"/>
        <sz val="11.0"/>
      </rPr>
      <t xml:space="preserve"> (Core i5, alta RAM, SSD decente)</t>
    </r>
  </si>
  <si>
    <t>Mejor desempeño, multitarea, usar aplicaciones más pesadas</t>
  </si>
  <si>
    <t>Celular Android</t>
  </si>
  <si>
    <t>Samsung Galaxy A24 128GB</t>
  </si>
  <si>
    <t>4 GB RAM, Android reciente, buen almacenamiento</t>
  </si>
  <si>
    <t xml:space="preserve">$350.000 aprox </t>
  </si>
  <si>
    <t>Celular iOS</t>
  </si>
  <si>
    <t>iPhone SE (3ra Gen. 2022)</t>
  </si>
  <si>
    <t>Chip A15, actualizaciones recientes de iOS</t>
  </si>
  <si>
    <t xml:space="preserve">$1.250.000 aprox </t>
  </si>
  <si>
    <t>Recomendación 2</t>
  </si>
  <si>
    <t>ASUS Vivobook Go (Ryzen 5, SSD más grande)</t>
  </si>
  <si>
    <t>Buen rendimiento con CPU moderno, útil para cliente que busca mejor velocidad</t>
  </si>
  <si>
    <t>HP 15-fd0026la (Core i3, 15.6″)</t>
  </si>
  <si>
    <t>Pantalla más grande, mejor experiencia visual</t>
  </si>
  <si>
    <r>
      <rPr>
        <rFont val="Calibri"/>
        <b/>
        <color theme="1"/>
        <sz val="11.0"/>
      </rPr>
      <t>Samsung Galaxy A32 4G</t>
    </r>
    <r>
      <rPr>
        <rFont val="Calibri"/>
        <b val="0"/>
        <color theme="1"/>
        <sz val="11.0"/>
      </rPr>
      <t xml:space="preserve"> (variante de RAM más alta)</t>
    </r>
  </si>
  <si>
    <t>Mejor rendimiento Android, más fluido</t>
  </si>
  <si>
    <t xml:space="preserve">$320.000 aprox </t>
  </si>
  <si>
    <r>
      <rPr>
        <rFont val="Calibri"/>
        <b/>
        <color theme="1"/>
        <sz val="11.0"/>
      </rPr>
      <t>iPhone SE 4 (16 E)</t>
    </r>
    <r>
      <rPr>
        <rFont val="Calibri"/>
        <b val="0"/>
        <color theme="1"/>
        <sz val="11.0"/>
      </rPr>
      <t xml:space="preserve"> (iOS 18)</t>
    </r>
  </si>
  <si>
    <t>Última versión, mayor RAM</t>
  </si>
  <si>
    <t xml:space="preserve">$1.400.000 aprox </t>
  </si>
  <si>
    <t>Recomendación 3</t>
  </si>
  <si>
    <r>
      <rPr>
        <rFont val="Calibri"/>
        <b/>
        <color theme="1"/>
        <sz val="11.0"/>
      </rPr>
      <t>HP 250 G9 Celeron</t>
    </r>
    <r>
      <rPr>
        <rFont val="Calibri"/>
        <b val="0"/>
        <color theme="1"/>
        <sz val="11.0"/>
      </rPr>
      <t xml:space="preserve"> (15.6", 8GB / 256GB)</t>
    </r>
  </si>
  <si>
    <t>Más grande, buena opción para uso básico y movilidad</t>
  </si>
  <si>
    <t>ASUS Vivobook Go (Ryzen 5)</t>
  </si>
  <si>
    <t>Alternativa robusta con más potencia</t>
  </si>
  <si>
    <t>Samsung Galaxy A04 (4GB RAM, Android 12)</t>
  </si>
  <si>
    <t>Versátil para aplicaciones simples</t>
  </si>
  <si>
    <t xml:space="preserve">$710.000 aprox </t>
  </si>
  <si>
    <t>Ya usado en otras propuestas, pero aquí único iOS diferente en combinación</t>
  </si>
  <si>
    <t>Recurso Humano</t>
  </si>
  <si>
    <t>Nombre integrante</t>
  </si>
  <si>
    <t>ROL principal</t>
  </si>
  <si>
    <t>Roles Adicionales</t>
  </si>
  <si>
    <t>Funciones</t>
  </si>
  <si>
    <t>Tiempo estimado en meses</t>
  </si>
  <si>
    <t>Costo estimado mensual</t>
  </si>
  <si>
    <t>Costo total aprox</t>
  </si>
  <si>
    <t>Total de Recurso Humano</t>
  </si>
  <si>
    <t>Keneth Santiago Rubiano Silva</t>
  </si>
  <si>
    <t>Líder del Proyecto</t>
  </si>
  <si>
    <t>Desarrollador Frontend, Base de Datos</t>
  </si>
  <si>
    <t>Levantar requisitos del sistema de monitoreo, elaborar diagramas de arquitectura y casos de uso, construir la interfaz web para directivos. Implementar la lógica de negocio en el servidor, realizar consultas SQL y colaborar en la integración con la API de sensores.</t>
  </si>
  <si>
    <t>Todo el proyecto</t>
  </si>
  <si>
    <t>Jhon Jairo Cortéz Vargas</t>
  </si>
  <si>
    <t>Analista</t>
  </si>
  <si>
    <t>Desarrollador Backend</t>
  </si>
  <si>
    <t>Coordinar al equipo, planificar y supervisar entregas, implementar la API REST para comunicación con sensores, desarrollar la lógica de alertas en tiempo real y gestión de datos.</t>
  </si>
  <si>
    <t>Maria De Los Angeles Olaya Garcia</t>
  </si>
  <si>
    <t>Documentador</t>
  </si>
  <si>
    <t>Diseñar el modelo de datos, administrar la base de datos, documentar cada módulo (API, app móvil, web), elaborar informes y manuales técnicos, y apoyar en pruebas funcionales de la plataforma.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</si>
</sst>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\ #,##0.00;[Red]\-&quot;$&quot;\ #,##0.00"/>
    <numFmt numFmtId="166" formatCode="&quot;$&quot;\ #,##0;[Red]\-&quot;$&quot;\ #,##0"/>
    <numFmt numFmtId="167" formatCode="&quot;$&quot;\ #,##0.00"/>
  </numFmts>
  <fonts count="27">
    <font>
      <sz val="11.0"/>
      <color theme="1"/>
      <name val="Calibri"/>
      <scheme val="minor"/>
    </font>
    <font>
      <b/>
      <sz val="22.0"/>
      <color theme="1"/>
      <name val="Calibri"/>
    </font>
    <font>
      <b/>
      <sz val="26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10.0"/>
      <color theme="1"/>
      <name val="Quattrocento Sans"/>
    </font>
    <font>
      <sz val="12.0"/>
      <color theme="1"/>
      <name val="Calibri"/>
    </font>
    <font>
      <u/>
      <sz val="11.0"/>
      <color theme="10"/>
      <name val="Calibri"/>
    </font>
    <font>
      <b/>
      <sz val="20.0"/>
      <color theme="1"/>
      <name val="Calibri"/>
    </font>
    <font>
      <sz val="11.0"/>
      <color rgb="FF000000"/>
      <name val="Arial"/>
    </font>
    <font>
      <sz val="11.0"/>
      <color theme="1"/>
      <name val="Arial"/>
    </font>
    <font>
      <u/>
      <sz val="11.0"/>
      <color theme="10"/>
      <name val="Calibri"/>
    </font>
    <font>
      <sz val="26.0"/>
      <color theme="1"/>
      <name val="Calibri"/>
    </font>
    <font>
      <sz val="9.0"/>
      <color theme="1"/>
      <name val="Quattrocento Sans"/>
    </font>
    <font>
      <u/>
      <sz val="11.0"/>
      <color theme="10"/>
      <name val="Calibri"/>
    </font>
    <font>
      <sz val="22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2.0"/>
      <color theme="1"/>
      <name val="Calibri"/>
    </font>
    <font>
      <u/>
      <sz val="11.0"/>
      <color theme="10"/>
      <name val="Calibri"/>
    </font>
    <font>
      <sz val="2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CDDC"/>
        <bgColor rgb="FF92CDDC"/>
      </patternFill>
    </fill>
    <fill>
      <patternFill patternType="solid">
        <fgColor theme="8"/>
        <bgColor theme="8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2" fontId="4" numFmtId="0" xfId="0" applyBorder="1" applyFont="1"/>
    <xf borderId="2" fillId="4" fontId="1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ont="1">
      <alignment shrinkToFit="0" vertical="center" wrapText="1"/>
    </xf>
    <xf borderId="1" fillId="5" fontId="5" numFmtId="0" xfId="0" applyAlignment="1" applyBorder="1" applyFont="1">
      <alignment horizontal="center" vertical="center"/>
    </xf>
    <xf borderId="2" fillId="4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shrinkToFit="0" vertical="top" wrapText="1"/>
    </xf>
    <xf borderId="1" fillId="0" fontId="4" numFmtId="164" xfId="0" applyAlignment="1" applyBorder="1" applyFont="1" applyNumberFormat="1">
      <alignment horizontal="right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right" vertical="center"/>
    </xf>
    <xf borderId="2" fillId="5" fontId="10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shrinkToFit="0" vertical="top" wrapText="1"/>
    </xf>
    <xf borderId="1" fillId="2" fontId="12" numFmtId="0" xfId="0" applyAlignment="1" applyBorder="1" applyFont="1">
      <alignment shrinkToFit="0" vertical="top" wrapText="1"/>
    </xf>
    <xf borderId="0" fillId="0" fontId="4" numFmtId="0" xfId="0" applyFont="1"/>
    <xf borderId="1" fillId="0" fontId="12" numFmtId="0" xfId="0" applyAlignment="1" applyBorder="1" applyFont="1">
      <alignment shrinkToFit="0" vertical="top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0" fillId="0" fontId="10" numFmtId="164" xfId="0" applyAlignment="1" applyFont="1" applyNumberFormat="1">
      <alignment horizontal="center"/>
    </xf>
    <xf borderId="0" fillId="0" fontId="4" numFmtId="0" xfId="0" applyAlignment="1" applyFont="1">
      <alignment vertical="center"/>
    </xf>
    <xf borderId="6" fillId="5" fontId="5" numFmtId="0" xfId="0" applyAlignment="1" applyBorder="1" applyFont="1">
      <alignment horizontal="center" shrinkToFit="0" vertical="center" wrapText="1"/>
    </xf>
    <xf borderId="0" fillId="0" fontId="10" numFmtId="165" xfId="0" applyAlignment="1" applyFont="1" applyNumberFormat="1">
      <alignment horizontal="center" shrinkToFit="0" wrapText="1"/>
    </xf>
    <xf borderId="1" fillId="0" fontId="4" numFmtId="0" xfId="0" applyAlignment="1" applyBorder="1" applyFont="1">
      <alignment shrinkToFit="0" vertical="center" wrapText="1"/>
    </xf>
    <xf borderId="1" fillId="0" fontId="4" numFmtId="166" xfId="0" applyAlignment="1" applyBorder="1" applyFont="1" applyNumberForma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shrinkToFit="0" vertical="center" wrapText="1"/>
    </xf>
    <xf borderId="0" fillId="0" fontId="4" numFmtId="164" xfId="0" applyFont="1" applyNumberFormat="1"/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166" xfId="0" applyAlignment="1" applyFont="1" applyNumberFormat="1">
      <alignment shrinkToFit="0" vertical="center" wrapText="1"/>
    </xf>
    <xf borderId="0" fillId="0" fontId="6" numFmtId="0" xfId="0" applyAlignment="1" applyFont="1">
      <alignment vertical="center"/>
    </xf>
    <xf borderId="0" fillId="0" fontId="10" numFmtId="164" xfId="0" applyFont="1" applyNumberFormat="1"/>
    <xf borderId="0" fillId="0" fontId="4" numFmtId="0" xfId="0" applyAlignment="1" applyFont="1">
      <alignment horizontal="left"/>
    </xf>
    <xf borderId="2" fillId="5" fontId="10" numFmtId="164" xfId="0" applyAlignment="1" applyBorder="1" applyFont="1" applyNumberFormat="1">
      <alignment horizontal="center"/>
    </xf>
    <xf borderId="0" fillId="0" fontId="14" numFmtId="0" xfId="0" applyFont="1"/>
    <xf borderId="2" fillId="4" fontId="2" numFmtId="0" xfId="0" applyAlignment="1" applyBorder="1" applyFont="1">
      <alignment horizontal="center" vertical="center"/>
    </xf>
    <xf borderId="1" fillId="0" fontId="15" numFmtId="166" xfId="0" applyAlignment="1" applyBorder="1" applyFont="1" applyNumberFormat="1">
      <alignment shrinkToFit="0" vertical="center" wrapText="1"/>
    </xf>
    <xf borderId="1" fillId="0" fontId="16" numFmtId="166" xfId="0" applyAlignment="1" applyBorder="1" applyFont="1" applyNumberFormat="1">
      <alignment shrinkToFit="0" vertical="center" wrapText="1"/>
    </xf>
    <xf borderId="0" fillId="0" fontId="17" numFmtId="0" xfId="0" applyFont="1"/>
    <xf borderId="1" fillId="0" fontId="4" numFmtId="167" xfId="0" applyAlignment="1" applyBorder="1" applyFont="1" applyNumberFormat="1">
      <alignment shrinkToFit="0" vertical="center" wrapText="1"/>
    </xf>
    <xf borderId="0" fillId="0" fontId="4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  <xf borderId="2" fillId="4" fontId="1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shrinkToFit="0" wrapText="1"/>
    </xf>
    <xf borderId="1" fillId="5" fontId="5" numFmtId="166" xfId="0" applyAlignment="1" applyBorder="1" applyFont="1" applyNumberFormat="1">
      <alignment horizontal="center" vertical="center"/>
    </xf>
    <xf borderId="7" fillId="4" fontId="1" numFmtId="0" xfId="0" applyAlignment="1" applyBorder="1" applyFont="1">
      <alignment horizontal="center"/>
    </xf>
    <xf borderId="8" fillId="0" fontId="3" numFmtId="0" xfId="0" applyBorder="1" applyFont="1"/>
    <xf borderId="1" fillId="5" fontId="5" numFmtId="166" xfId="0" applyAlignment="1" applyBorder="1" applyFont="1" applyNumberFormat="1">
      <alignment horizontal="center"/>
    </xf>
    <xf borderId="7" fillId="4" fontId="1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/>
    </xf>
    <xf borderId="2" fillId="5" fontId="5" numFmtId="166" xfId="0" applyAlignment="1" applyBorder="1" applyFont="1" applyNumberFormat="1">
      <alignment horizontal="center"/>
    </xf>
    <xf borderId="9" fillId="4" fontId="1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0" fillId="0" fontId="18" numFmtId="0" xfId="0" applyFont="1"/>
    <xf borderId="0" fillId="0" fontId="10" numFmtId="164" xfId="0" applyAlignment="1" applyFont="1" applyNumberFormat="1">
      <alignment vertical="center"/>
    </xf>
    <xf borderId="6" fillId="5" fontId="5" numFmtId="0" xfId="0" applyAlignment="1" applyBorder="1" applyFont="1">
      <alignment horizontal="center" shrinkToFit="0" vertical="top" wrapText="1"/>
    </xf>
    <xf borderId="1" fillId="5" fontId="5" numFmtId="0" xfId="0" applyAlignment="1" applyBorder="1" applyFont="1">
      <alignment horizontal="center" vertical="top"/>
    </xf>
    <xf borderId="1" fillId="4" fontId="6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top" wrapText="1"/>
    </xf>
    <xf borderId="1" fillId="0" fontId="19" numFmtId="0" xfId="0" applyAlignment="1" applyBorder="1" applyFont="1">
      <alignment horizontal="left" shrinkToFit="0" vertical="top" wrapText="1"/>
    </xf>
    <xf borderId="1" fillId="0" fontId="4" numFmtId="166" xfId="0" applyAlignment="1" applyBorder="1" applyFont="1" applyNumberFormat="1">
      <alignment horizontal="right" shrinkToFit="0" vertical="center" wrapText="1"/>
    </xf>
    <xf borderId="1" fillId="5" fontId="10" numFmtId="164" xfId="0" applyAlignment="1" applyBorder="1" applyFont="1" applyNumberFormat="1">
      <alignment horizontal="center" vertical="center"/>
    </xf>
    <xf borderId="1" fillId="0" fontId="4" numFmtId="167" xfId="0" applyAlignment="1" applyBorder="1" applyFont="1" applyNumberFormat="1">
      <alignment horizontal="right" shrinkToFit="0" vertical="center" wrapText="1"/>
    </xf>
    <xf borderId="0" fillId="0" fontId="20" numFmtId="0" xfId="0" applyAlignment="1" applyFont="1">
      <alignment shrinkToFit="0" vertical="top" wrapText="1"/>
    </xf>
    <xf borderId="1" fillId="0" fontId="4" numFmtId="167" xfId="0" applyAlignment="1" applyBorder="1" applyFont="1" applyNumberFormat="1">
      <alignment horizontal="right" shrinkToFit="0" wrapText="1"/>
    </xf>
    <xf borderId="12" fillId="0" fontId="21" numFmtId="0" xfId="0" applyAlignment="1" applyBorder="1" applyFont="1">
      <alignment horizontal="left" shrinkToFit="0" vertical="top" wrapText="1"/>
    </xf>
    <xf borderId="12" fillId="0" fontId="4" numFmtId="164" xfId="0" applyAlignment="1" applyBorder="1" applyFont="1" applyNumberFormat="1">
      <alignment horizontal="right" shrinkToFit="0" vertical="center" wrapText="1"/>
    </xf>
    <xf borderId="13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top" wrapText="1"/>
    </xf>
    <xf borderId="0" fillId="0" fontId="4" numFmtId="166" xfId="0" applyAlignment="1" applyFont="1" applyNumberFormat="1">
      <alignment horizontal="left" shrinkToFit="0" vertical="top" wrapText="1"/>
    </xf>
    <xf borderId="0" fillId="0" fontId="4" numFmtId="166" xfId="0" applyAlignment="1" applyFont="1" applyNumberFormat="1">
      <alignment horizontal="left" shrinkToFit="0" vertical="center" wrapText="1"/>
    </xf>
    <xf borderId="1" fillId="5" fontId="5" numFmtId="0" xfId="0" applyAlignment="1" applyBorder="1" applyFont="1">
      <alignment horizontal="center" shrinkToFit="0" vertical="top" wrapText="1"/>
    </xf>
    <xf borderId="14" fillId="5" fontId="5" numFmtId="0" xfId="0" applyAlignment="1" applyBorder="1" applyFont="1">
      <alignment horizontal="center" shrinkToFit="0" vertical="center" wrapText="1"/>
    </xf>
    <xf borderId="12" fillId="0" fontId="4" numFmtId="166" xfId="0" applyAlignment="1" applyBorder="1" applyFont="1" applyNumberFormat="1">
      <alignment horizontal="left" shrinkToFit="0" vertical="center" wrapText="1"/>
    </xf>
    <xf borderId="2" fillId="0" fontId="22" numFmtId="0" xfId="0" applyAlignment="1" applyBorder="1" applyFont="1">
      <alignment shrinkToFit="0" vertical="top" wrapText="1"/>
    </xf>
    <xf borderId="1" fillId="0" fontId="4" numFmtId="164" xfId="0" applyAlignment="1" applyBorder="1" applyFont="1" applyNumberFormat="1">
      <alignment horizontal="left" shrinkToFit="0" vertical="center" wrapText="1"/>
    </xf>
    <xf borderId="15" fillId="0" fontId="4" numFmtId="164" xfId="0" applyAlignment="1" applyBorder="1" applyFont="1" applyNumberFormat="1">
      <alignment horizontal="left" shrinkToFit="0" vertical="center" wrapText="1"/>
    </xf>
    <xf borderId="1" fillId="0" fontId="4" numFmtId="164" xfId="0" applyAlignment="1" applyBorder="1" applyFont="1" applyNumberFormat="1">
      <alignment horizontal="left" shrinkToFit="0" vertical="top" wrapText="1"/>
    </xf>
    <xf borderId="12" fillId="0" fontId="23" numFmtId="0" xfId="0" applyAlignment="1" applyBorder="1" applyFont="1">
      <alignment shrinkToFit="0" vertical="top" wrapText="1"/>
    </xf>
    <xf borderId="12" fillId="0" fontId="4" numFmtId="164" xfId="0" applyAlignment="1" applyBorder="1" applyFont="1" applyNumberFormat="1">
      <alignment horizontal="left" shrinkToFit="0" vertical="center" wrapText="1"/>
    </xf>
    <xf borderId="1" fillId="0" fontId="4" numFmtId="167" xfId="0" applyAlignment="1" applyBorder="1" applyFont="1" applyNumberFormat="1">
      <alignment horizontal="left" shrinkToFit="0" vertical="center" wrapText="1"/>
    </xf>
    <xf borderId="1" fillId="0" fontId="4" numFmtId="167" xfId="0" applyAlignment="1" applyBorder="1" applyFont="1" applyNumberFormat="1">
      <alignment horizontal="left" shrinkToFit="0" vertical="top" wrapText="1"/>
    </xf>
    <xf borderId="0" fillId="0" fontId="14" numFmtId="0" xfId="0" applyAlignment="1" applyFont="1">
      <alignment horizontal="center"/>
    </xf>
    <xf borderId="0" fillId="0" fontId="24" numFmtId="0" xfId="0" applyAlignment="1" applyFont="1">
      <alignment vertical="center"/>
    </xf>
    <xf borderId="1" fillId="4" fontId="24" numFmtId="0" xfId="0" applyAlignment="1" applyBorder="1" applyFont="1">
      <alignment horizontal="center" vertical="center"/>
    </xf>
    <xf borderId="1" fillId="0" fontId="4" numFmtId="166" xfId="0" applyAlignment="1" applyBorder="1" applyFont="1" applyNumberFormat="1">
      <alignment horizontal="left" shrinkToFit="0" vertical="center" wrapText="1"/>
    </xf>
    <xf borderId="0" fillId="0" fontId="4" numFmtId="0" xfId="0" applyAlignment="1" applyFont="1">
      <alignment horizontal="center"/>
    </xf>
    <xf borderId="1" fillId="5" fontId="5" numFmtId="166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right" shrinkToFit="0" vertical="center" wrapText="1"/>
    </xf>
    <xf borderId="0" fillId="0" fontId="5" numFmtId="166" xfId="0" applyAlignment="1" applyFont="1" applyNumberFormat="1">
      <alignment horizontal="right" shrinkToFit="0" vertical="center" wrapText="1"/>
    </xf>
    <xf borderId="1" fillId="4" fontId="5" numFmtId="0" xfId="0" applyAlignment="1" applyBorder="1" applyFont="1">
      <alignment shrinkToFit="0" vertical="center" wrapText="1"/>
    </xf>
    <xf borderId="2" fillId="3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top"/>
    </xf>
    <xf borderId="7" fillId="3" fontId="1" numFmtId="0" xfId="0" applyAlignment="1" applyBorder="1" applyFont="1">
      <alignment horizontal="center" vertical="center"/>
    </xf>
    <xf borderId="1" fillId="6" fontId="5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7" fillId="3" fontId="1" numFmtId="0" xfId="0" applyAlignment="1" applyBorder="1" applyFont="1">
      <alignment horizontal="center"/>
    </xf>
    <xf borderId="1" fillId="6" fontId="5" numFmtId="0" xfId="0" applyAlignment="1" applyBorder="1" applyFont="1">
      <alignment horizontal="center" shrinkToFit="0" vertical="center" wrapText="1"/>
    </xf>
    <xf borderId="1" fillId="0" fontId="5" numFmtId="166" xfId="0" applyAlignment="1" applyBorder="1" applyFont="1" applyNumberFormat="1">
      <alignment horizontal="left" vertical="center"/>
    </xf>
    <xf borderId="0" fillId="0" fontId="5" numFmtId="0" xfId="0" applyAlignment="1" applyFont="1">
      <alignment horizontal="center" vertical="center"/>
    </xf>
    <xf borderId="1" fillId="0" fontId="5" numFmtId="166" xfId="0" applyAlignment="1" applyBorder="1" applyFont="1" applyNumberFormat="1">
      <alignment horizontal="left"/>
    </xf>
    <xf borderId="0" fillId="0" fontId="25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vertical="top" wrapText="1"/>
    </xf>
    <xf borderId="13" fillId="4" fontId="26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lkosto.com/accesorios-electronica/accesorios-computadores/accesorios-gaming/mouse-pad-mouse-gamers/c/BI_A71_ALKOS?sort=relevance&amp;q=%3Arelevance%3Abrand%3ALOGITECH" TargetMode="External"/><Relationship Id="rId10" Type="http://schemas.openxmlformats.org/officeDocument/2006/relationships/hyperlink" Target="https://www.falabella.com.co/falabella-co/product/127619966/PORTATIL-HP-AMD-RYZEN-7-7730U-SSD-512GB-RAM-16GB-LED-15,6-FULL-HD/127619968" TargetMode="External"/><Relationship Id="rId13" Type="http://schemas.openxmlformats.org/officeDocument/2006/relationships/hyperlink" Target="https://articulo.mercadolibre.com.co/MCO-498220272-sensor-bme280-temperatura-humedad-presion-atmosferica-i2c-_JM" TargetMode="External"/><Relationship Id="rId12" Type="http://schemas.openxmlformats.org/officeDocument/2006/relationships/hyperlink" Target="https://www.mercadolibre.com.co/esp32-wifi-bluetooth-devkit-v1-30-pines-usb-c/p/MCO2004162967?has_official_store=false&amp;highlight=false&amp;headerTopBrand=true" TargetMode="External"/><Relationship Id="rId1" Type="http://schemas.openxmlformats.org/officeDocument/2006/relationships/hyperlink" Target="https://www.falabella.com.co/falabella-co/product/127619966/PORTATIL-HP-AMD-RYZEN-7-7730U-SSD-512GB-RAM-16GB-LED-15,6-FULL-HD/127619968" TargetMode="External"/><Relationship Id="rId2" Type="http://schemas.openxmlformats.org/officeDocument/2006/relationships/hyperlink" Target="https://www.alkosto.com/accesorios-electronica/accesorios-computadores/accesorios-gaming/mouse-pad-mouse-gamers/c/BI_A71_ALKOS?sort=relevance&amp;q=%3Arelevance%3Abrand%3ALOGITECH" TargetMode="External"/><Relationship Id="rId3" Type="http://schemas.openxmlformats.org/officeDocument/2006/relationships/hyperlink" Target="https://www.mercadolibre.com.co/arduino-uno-r3-smd-compatible-con-arduino-ide-incluye-cable/p/MCO39241687" TargetMode="External"/><Relationship Id="rId4" Type="http://schemas.openxmlformats.org/officeDocument/2006/relationships/hyperlink" Target="https://articulo.mercadolibre.com.co/MCO-2595667528-modulo-dht22-sensor-de-temperatura-y-humedad-arduino-cable-_JM" TargetMode="External"/><Relationship Id="rId9" Type="http://schemas.openxmlformats.org/officeDocument/2006/relationships/hyperlink" Target="https://www.mercadolibre.com.co/placa-de-pruebas-sin-soldadura-830-puntos-de-conexion/p/MCO2021219491" TargetMode="External"/><Relationship Id="rId15" Type="http://schemas.openxmlformats.org/officeDocument/2006/relationships/hyperlink" Target="https://www.mercadolibre.com.co/sensor-mq135--mq135-calidad-del-aire/up/MCOU2434376914?has_official_store=false&amp;highlight=true&amp;headerTopBrand=false" TargetMode="External"/><Relationship Id="rId14" Type="http://schemas.openxmlformats.org/officeDocument/2006/relationships/hyperlink" Target="https://articulo.mercadolibre.com.co/MCO-1398999973-microfono-omnidireccional-inmp441-interfaz-i2s-modulo-_J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yorobotics.co/producto/microfono-omnidireccional-inmp441-sensor-sonido-alta-sensibi/" TargetMode="External"/><Relationship Id="rId6" Type="http://schemas.openxmlformats.org/officeDocument/2006/relationships/hyperlink" Target="https://www.mercadolibre.com.co/-prototype-board-kit-830-puntos-de-conexion/p/MCO2005563407" TargetMode="External"/><Relationship Id="rId7" Type="http://schemas.openxmlformats.org/officeDocument/2006/relationships/hyperlink" Target="https://articulo.mercadolibre.com.co/MCO-498220272-sensor-bme280-temperatura-humedad-presion-atmosferica-i2c-_JM" TargetMode="External"/><Relationship Id="rId8" Type="http://schemas.openxmlformats.org/officeDocument/2006/relationships/hyperlink" Target="https://articulo.mercadolibre.com.co/MCO-1398999973-microfono-omnidireccional-inmp441-interfaz-i2s-modulo-_J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mtecnologia.co/tienda/celulares/accesorios-para-celular/cargadores-para-celular/cargador-usb-5v-a-1a-cable-micro-usb-tipo-galaxy/" TargetMode="External"/><Relationship Id="rId10" Type="http://schemas.openxmlformats.org/officeDocument/2006/relationships/hyperlink" Target="https://www.mercadolibre.com.co/protoboard-400-puntos/up/MCOU2432027170" TargetMode="External"/><Relationship Id="rId13" Type="http://schemas.openxmlformats.org/officeDocument/2006/relationships/hyperlink" Target="https://articulo.mercadolibre.com.co/MCO-1462873259-tarjeta-wifi-bluetooth-esp32-wroom-_JM" TargetMode="External"/><Relationship Id="rId12" Type="http://schemas.openxmlformats.org/officeDocument/2006/relationships/hyperlink" Target="https://www.falabella.com.co/falabella-co/product/127619966/PORTATIL-HP-AMD-RYZEN-7-7730U-SSD-512GB-RAM-16GB-LED-15,6-FULL-HD/127619968" TargetMode="External"/><Relationship Id="rId1" Type="http://schemas.openxmlformats.org/officeDocument/2006/relationships/hyperlink" Target="https://www.mercadolibre.com.co/arduino-uno-r3-smd-compatible-con-arduino-ide-incluye-cable/p/MCO39241687" TargetMode="External"/><Relationship Id="rId2" Type="http://schemas.openxmlformats.org/officeDocument/2006/relationships/hyperlink" Target="https://articulo.mercadolibre.com.co/MCO-512369193-sensor-mq-135-mq135-calidad-del-aire-arduino-co2-_JM" TargetMode="External"/><Relationship Id="rId3" Type="http://schemas.openxmlformats.org/officeDocument/2006/relationships/hyperlink" Target="https://articulo.mercadolibre.com.co/MCO-446819100-sensor-ruido-ky-037-sonido-modulo-detector-robotica-_JM?searchVariation=176388558545" TargetMode="External"/><Relationship Id="rId4" Type="http://schemas.openxmlformats.org/officeDocument/2006/relationships/hyperlink" Target="https://www.mercadolibre.com.co/-prototype-board-kit-830-puntos-de-conexion/p/MCO2005563407" TargetMode="External"/><Relationship Id="rId9" Type="http://schemas.openxmlformats.org/officeDocument/2006/relationships/hyperlink" Target="https://articulo.mercadolibre.com.co/MCO-938013356-modulo-sensor-de-sonido-ajustable-lm393-rojo-_JM" TargetMode="External"/><Relationship Id="rId15" Type="http://schemas.openxmlformats.org/officeDocument/2006/relationships/hyperlink" Target="https://www.didacticaselectronicas.com/shop/mp34dt01-microfono-digital-mems-mp34dt01-40831" TargetMode="External"/><Relationship Id="rId14" Type="http://schemas.openxmlformats.org/officeDocument/2006/relationships/hyperlink" Target="https://articulo.mercadolibre.com.co/MCO-562549343-sensor-de-presion-temperatura-y-humedad-bme280-_JM" TargetMode="External"/><Relationship Id="rId17" Type="http://schemas.openxmlformats.org/officeDocument/2006/relationships/hyperlink" Target="https://www.mercadolibre.com.co/power-bank-bateria-portatil-10000mah-con-built-in-4-cables-micro-usb-v8-ip-tipo-c-1hora-con-pantalla-digital-cargador-de-bateria-compatible-con-iphone-16-15-14-13-12-samsung-s22-s21-xiaomi-huawei/p/MCO21334121" TargetMode="External"/><Relationship Id="rId16" Type="http://schemas.openxmlformats.org/officeDocument/2006/relationships/hyperlink" Target="https://www.mercadolibre.com.co/120-pcs-cables-dupont-h-h-m-m-h-m-10cm-para-arduino/p/MCO2020362676" TargetMode="External"/><Relationship Id="rId5" Type="http://schemas.openxmlformats.org/officeDocument/2006/relationships/hyperlink" Target="https://articulo.mercadolibre.com.co/MCO-516407243-adaptador-regulador-transformador-acdc-100-240v-5v-2a-_JM" TargetMode="External"/><Relationship Id="rId19" Type="http://schemas.openxmlformats.org/officeDocument/2006/relationships/drawing" Target="../drawings/drawing3.xml"/><Relationship Id="rId6" Type="http://schemas.openxmlformats.org/officeDocument/2006/relationships/hyperlink" Target="https://www.falabella.com.co/falabella-co/product/145112251/ASUS-TUF-A15-AMD-RYZEN-5-7535HS-SSD-1TB-RAM-32GB-DDR5-15,6-FHD-RTX-3050-4GB/145112252" TargetMode="External"/><Relationship Id="rId18" Type="http://schemas.openxmlformats.org/officeDocument/2006/relationships/hyperlink" Target="https://www.mercadolibre.com.co/portatil--asus-intel-core-i7-13620h-ram-16gb-ssd-1tb-fhd/up/MCOU3221060360?pdp_filters=item_id:MCO1595281025" TargetMode="External"/><Relationship Id="rId7" Type="http://schemas.openxmlformats.org/officeDocument/2006/relationships/hyperlink" Target="https://www.mercadolibre.com.co/placa-mega-atmega-2560-ch340-compatible-con-arduino/p/MCO39027742" TargetMode="External"/><Relationship Id="rId8" Type="http://schemas.openxmlformats.org/officeDocument/2006/relationships/hyperlink" Target="https://articulo.mercadolibre.com.co/MCO-2595667528-modulo-dht22-sensor-de-temperatura-y-humedad-arduino-cable-_J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44.0"/>
    <col customWidth="1" min="3" max="3" width="67.43"/>
    <col customWidth="1" min="4" max="4" width="96.29"/>
    <col customWidth="1" min="5" max="5" width="73.86"/>
    <col customWidth="1" min="6" max="6" width="21.29"/>
    <col customWidth="1" min="7" max="7" width="23.71"/>
    <col customWidth="1" min="8" max="9" width="16.0"/>
    <col customWidth="1" min="10" max="10" width="8.86"/>
    <col customWidth="1" min="11" max="11" width="24.43"/>
    <col customWidth="1" min="12" max="12" width="25.71"/>
    <col customWidth="1" min="13" max="26" width="8.86"/>
  </cols>
  <sheetData>
    <row r="1" ht="61.5" customHeight="1">
      <c r="A1" s="1"/>
      <c r="B1" s="2" t="s">
        <v>0</v>
      </c>
      <c r="C1" s="3"/>
      <c r="D1" s="3"/>
      <c r="E1" s="3"/>
      <c r="F1" s="3"/>
      <c r="G1" s="3"/>
      <c r="H1" s="3"/>
      <c r="I1" s="4"/>
    </row>
    <row r="2">
      <c r="A2" s="5"/>
    </row>
    <row r="3" ht="51.75" customHeight="1">
      <c r="B3" s="6" t="s">
        <v>1</v>
      </c>
      <c r="C3" s="4"/>
      <c r="E3" s="7"/>
      <c r="F3" s="7"/>
      <c r="G3" s="7"/>
      <c r="H3" s="8"/>
    </row>
    <row r="4" ht="25.5" customHeight="1">
      <c r="B4" s="9" t="s">
        <v>2</v>
      </c>
      <c r="C4" s="9" t="s">
        <v>3</v>
      </c>
      <c r="D4" s="10" t="s">
        <v>4</v>
      </c>
      <c r="E4" s="9" t="s">
        <v>5</v>
      </c>
      <c r="F4" s="9" t="s">
        <v>6</v>
      </c>
      <c r="G4" s="9" t="s">
        <v>7</v>
      </c>
      <c r="H4" s="11" t="s">
        <v>8</v>
      </c>
      <c r="I4" s="11" t="s">
        <v>9</v>
      </c>
      <c r="K4" s="12" t="s">
        <v>10</v>
      </c>
      <c r="L4" s="4"/>
    </row>
    <row r="5">
      <c r="B5" s="13" t="s">
        <v>11</v>
      </c>
      <c r="C5" s="13" t="s">
        <v>12</v>
      </c>
      <c r="D5" s="14" t="s">
        <v>13</v>
      </c>
      <c r="E5" s="15" t="s">
        <v>14</v>
      </c>
      <c r="F5" s="16" t="s">
        <v>15</v>
      </c>
      <c r="G5" s="17">
        <v>5500000.0</v>
      </c>
      <c r="H5" s="18">
        <v>3.0</v>
      </c>
      <c r="I5" s="19">
        <f t="shared" ref="I5:I10" si="1">G5*H5</f>
        <v>16500000</v>
      </c>
      <c r="K5" s="20">
        <f>SUM(I5,I6,I7,I8,I9,I10)</f>
        <v>17103465</v>
      </c>
      <c r="L5" s="4"/>
    </row>
    <row r="6" ht="36.0" customHeight="1">
      <c r="B6" s="13" t="s">
        <v>16</v>
      </c>
      <c r="C6" s="13" t="s">
        <v>17</v>
      </c>
      <c r="D6" s="14" t="s">
        <v>18</v>
      </c>
      <c r="E6" s="21" t="s">
        <v>19</v>
      </c>
      <c r="F6" s="16" t="s">
        <v>20</v>
      </c>
      <c r="G6" s="17">
        <v>160000.0</v>
      </c>
      <c r="H6" s="18">
        <v>3.0</v>
      </c>
      <c r="I6" s="19">
        <f t="shared" si="1"/>
        <v>480000</v>
      </c>
    </row>
    <row r="7" ht="36.0" customHeight="1">
      <c r="B7" s="21" t="s">
        <v>21</v>
      </c>
      <c r="C7" s="21" t="s">
        <v>22</v>
      </c>
      <c r="D7" s="21"/>
      <c r="E7" s="21" t="s">
        <v>23</v>
      </c>
      <c r="F7" s="16" t="s">
        <v>24</v>
      </c>
      <c r="G7" s="17">
        <v>25000.0</v>
      </c>
      <c r="H7" s="22">
        <v>1.0</v>
      </c>
      <c r="I7" s="17">
        <f t="shared" si="1"/>
        <v>25000</v>
      </c>
    </row>
    <row r="8" ht="63.0" customHeight="1">
      <c r="B8" s="21" t="s">
        <v>25</v>
      </c>
      <c r="C8" s="21" t="s">
        <v>26</v>
      </c>
      <c r="D8" s="21" t="s">
        <v>27</v>
      </c>
      <c r="E8" s="21" t="s">
        <v>28</v>
      </c>
      <c r="F8" s="16" t="s">
        <v>29</v>
      </c>
      <c r="G8" s="17">
        <v>30000.0</v>
      </c>
      <c r="H8" s="22">
        <v>1.0</v>
      </c>
      <c r="I8" s="17">
        <f t="shared" si="1"/>
        <v>30000</v>
      </c>
    </row>
    <row r="9" ht="37.5" customHeight="1">
      <c r="B9" s="21" t="s">
        <v>30</v>
      </c>
      <c r="C9" s="23" t="s">
        <v>31</v>
      </c>
      <c r="D9" s="24" t="s">
        <v>32</v>
      </c>
      <c r="E9" s="21" t="s">
        <v>33</v>
      </c>
      <c r="F9" s="16" t="s">
        <v>34</v>
      </c>
      <c r="G9" s="17">
        <v>40500.0</v>
      </c>
      <c r="H9" s="22">
        <v>1.0</v>
      </c>
      <c r="I9" s="17">
        <f t="shared" si="1"/>
        <v>40500</v>
      </c>
      <c r="J9" s="25"/>
    </row>
    <row r="10" ht="48.75" customHeight="1">
      <c r="B10" s="21" t="s">
        <v>35</v>
      </c>
      <c r="C10" s="26" t="s">
        <v>36</v>
      </c>
      <c r="D10" s="26" t="s">
        <v>37</v>
      </c>
      <c r="E10" s="21" t="s">
        <v>38</v>
      </c>
      <c r="F10" s="16" t="s">
        <v>39</v>
      </c>
      <c r="G10" s="17">
        <v>27965.0</v>
      </c>
      <c r="H10" s="22">
        <v>1.0</v>
      </c>
      <c r="I10" s="17">
        <f t="shared" si="1"/>
        <v>27965</v>
      </c>
      <c r="J10" s="25"/>
    </row>
    <row r="11" ht="14.25" customHeight="1">
      <c r="A11" s="27"/>
      <c r="B11" s="27"/>
      <c r="C11" s="25"/>
      <c r="D11" s="25"/>
      <c r="E11" s="25"/>
      <c r="F11" s="25"/>
      <c r="G11" s="25"/>
      <c r="H11" s="25"/>
      <c r="I11" s="25"/>
    </row>
    <row r="12">
      <c r="J12" s="28"/>
    </row>
    <row r="13">
      <c r="M13" s="29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39.0" customHeight="1">
      <c r="B15" s="6" t="s">
        <v>40</v>
      </c>
      <c r="C15" s="4"/>
      <c r="K15" s="29"/>
      <c r="L15" s="29"/>
    </row>
    <row r="16" ht="31.5" customHeight="1">
      <c r="B16" s="31" t="s">
        <v>2</v>
      </c>
      <c r="C16" s="31" t="s">
        <v>3</v>
      </c>
      <c r="D16" s="9" t="s">
        <v>41</v>
      </c>
      <c r="E16" s="9" t="s">
        <v>42</v>
      </c>
      <c r="F16" s="9" t="s">
        <v>6</v>
      </c>
      <c r="G16" s="9" t="s">
        <v>43</v>
      </c>
      <c r="H16" s="9" t="s">
        <v>44</v>
      </c>
      <c r="I16" s="9" t="s">
        <v>45</v>
      </c>
      <c r="K16" s="12" t="s">
        <v>10</v>
      </c>
      <c r="L16" s="4"/>
      <c r="M16" s="32"/>
    </row>
    <row r="17" ht="33.75" customHeight="1">
      <c r="B17" s="33" t="s">
        <v>46</v>
      </c>
      <c r="C17" s="33" t="s">
        <v>47</v>
      </c>
      <c r="D17" s="33" t="s">
        <v>48</v>
      </c>
      <c r="E17" s="33" t="s">
        <v>49</v>
      </c>
      <c r="F17" s="21" t="s">
        <v>50</v>
      </c>
      <c r="G17" s="34">
        <v>2712000.0</v>
      </c>
      <c r="H17" s="33">
        <v>3.0</v>
      </c>
      <c r="I17" s="34">
        <f t="shared" ref="I17:I19" si="2">SUM(G17,G17,G17)</f>
        <v>8136000</v>
      </c>
      <c r="K17" s="20">
        <f>SUM(I17,I18,I19,I20,I21,I22)</f>
        <v>8699861</v>
      </c>
      <c r="L17" s="4"/>
    </row>
    <row r="18" ht="37.5" customHeight="1">
      <c r="B18" s="33" t="s">
        <v>16</v>
      </c>
      <c r="C18" s="33" t="s">
        <v>51</v>
      </c>
      <c r="D18" s="33" t="s">
        <v>52</v>
      </c>
      <c r="E18" s="33" t="s">
        <v>53</v>
      </c>
      <c r="F18" s="33" t="s">
        <v>54</v>
      </c>
      <c r="G18" s="34">
        <v>96929.0</v>
      </c>
      <c r="H18" s="33">
        <v>3.0</v>
      </c>
      <c r="I18" s="34">
        <f t="shared" si="2"/>
        <v>290787</v>
      </c>
      <c r="K18" s="32"/>
      <c r="L18" s="32"/>
    </row>
    <row r="19" ht="40.5" customHeight="1">
      <c r="B19" s="33" t="s">
        <v>21</v>
      </c>
      <c r="C19" s="35" t="s">
        <v>55</v>
      </c>
      <c r="D19" s="33" t="s">
        <v>56</v>
      </c>
      <c r="E19" s="33" t="s">
        <v>57</v>
      </c>
      <c r="F19" s="33" t="s">
        <v>58</v>
      </c>
      <c r="G19" s="34">
        <v>23815.0</v>
      </c>
      <c r="H19" s="33">
        <v>1.0</v>
      </c>
      <c r="I19" s="34">
        <f t="shared" si="2"/>
        <v>71445</v>
      </c>
    </row>
    <row r="20" ht="43.5" customHeight="1">
      <c r="B20" s="33" t="s">
        <v>25</v>
      </c>
      <c r="C20" s="35" t="s">
        <v>59</v>
      </c>
      <c r="D20" s="33" t="s">
        <v>60</v>
      </c>
      <c r="E20" s="33" t="s">
        <v>61</v>
      </c>
      <c r="F20" s="36" t="s">
        <v>62</v>
      </c>
      <c r="G20" s="34">
        <v>38950.0</v>
      </c>
      <c r="H20" s="33">
        <v>1.0</v>
      </c>
      <c r="I20" s="34">
        <v>38950.0</v>
      </c>
      <c r="K20" s="37"/>
    </row>
    <row r="21" ht="37.5" customHeight="1">
      <c r="B21" s="33" t="s">
        <v>30</v>
      </c>
      <c r="C21" s="33" t="s">
        <v>63</v>
      </c>
      <c r="D21" s="33" t="s">
        <v>64</v>
      </c>
      <c r="E21" s="33" t="s">
        <v>65</v>
      </c>
      <c r="F21" s="36" t="s">
        <v>66</v>
      </c>
      <c r="G21" s="34">
        <v>130900.0</v>
      </c>
      <c r="H21" s="33">
        <v>1.0</v>
      </c>
      <c r="I21" s="34">
        <v>130900.0</v>
      </c>
      <c r="J21" s="38"/>
    </row>
    <row r="22" ht="31.5" customHeight="1">
      <c r="A22" s="27"/>
      <c r="B22" s="33" t="s">
        <v>35</v>
      </c>
      <c r="C22" s="33" t="s">
        <v>67</v>
      </c>
      <c r="D22" s="33" t="s">
        <v>68</v>
      </c>
      <c r="E22" s="33" t="s">
        <v>69</v>
      </c>
      <c r="F22" s="36" t="s">
        <v>70</v>
      </c>
      <c r="G22" s="34">
        <v>31779.0</v>
      </c>
      <c r="H22" s="33">
        <v>1.0</v>
      </c>
      <c r="I22" s="34">
        <v>31779.0</v>
      </c>
      <c r="J22" s="25"/>
    </row>
    <row r="23" ht="20.25" customHeight="1">
      <c r="A23" s="39"/>
      <c r="B23" s="38"/>
      <c r="C23" s="38"/>
      <c r="D23" s="38"/>
      <c r="E23" s="38"/>
      <c r="F23" s="38"/>
      <c r="G23" s="38"/>
      <c r="H23" s="40"/>
      <c r="I23" s="25"/>
      <c r="J23" s="41"/>
      <c r="K23" s="41"/>
      <c r="L23" s="41"/>
    </row>
    <row r="24" ht="33.0" customHeight="1">
      <c r="I24" s="25"/>
      <c r="J24" s="42"/>
      <c r="K24" s="42"/>
      <c r="L24" s="42"/>
    </row>
    <row r="25" ht="14.25" customHeight="1">
      <c r="B25" s="43"/>
      <c r="C25" s="43"/>
      <c r="D25" s="43"/>
      <c r="E25" s="43"/>
      <c r="F25" s="43"/>
      <c r="G25" s="43"/>
      <c r="H25" s="43"/>
      <c r="I25" s="25"/>
    </row>
    <row r="26" ht="14.25" customHeight="1">
      <c r="A26" s="43"/>
      <c r="B26" s="43"/>
      <c r="C26" s="43"/>
      <c r="D26" s="43"/>
      <c r="E26" s="43"/>
      <c r="F26" s="43"/>
      <c r="G26" s="43"/>
      <c r="H26" s="43"/>
      <c r="I26" s="25"/>
    </row>
    <row r="27" ht="49.5" customHeight="1">
      <c r="B27" s="6" t="s">
        <v>71</v>
      </c>
      <c r="C27" s="4"/>
      <c r="D27" s="43"/>
      <c r="E27" s="43"/>
      <c r="F27" s="43"/>
      <c r="G27" s="43"/>
      <c r="H27" s="43"/>
      <c r="I27" s="43"/>
      <c r="J27" s="25"/>
    </row>
    <row r="28">
      <c r="B28" s="9" t="s">
        <v>2</v>
      </c>
      <c r="C28" s="9" t="s">
        <v>3</v>
      </c>
      <c r="D28" s="9" t="s">
        <v>41</v>
      </c>
      <c r="E28" s="9" t="s">
        <v>42</v>
      </c>
      <c r="F28" s="9" t="s">
        <v>6</v>
      </c>
      <c r="G28" s="9" t="s">
        <v>43</v>
      </c>
      <c r="H28" s="9" t="s">
        <v>44</v>
      </c>
      <c r="I28" s="9" t="s">
        <v>45</v>
      </c>
      <c r="J28" s="25"/>
      <c r="K28" s="12" t="s">
        <v>10</v>
      </c>
      <c r="L28" s="4"/>
    </row>
    <row r="29" ht="27.75" customHeight="1">
      <c r="B29" s="33" t="s">
        <v>46</v>
      </c>
      <c r="C29" s="33" t="s">
        <v>72</v>
      </c>
      <c r="D29" s="33" t="s">
        <v>73</v>
      </c>
      <c r="E29" s="33" t="s">
        <v>74</v>
      </c>
      <c r="F29" s="21" t="s">
        <v>75</v>
      </c>
      <c r="G29" s="34">
        <v>4519900.0</v>
      </c>
      <c r="H29" s="33">
        <v>3.0</v>
      </c>
      <c r="I29" s="34">
        <f t="shared" ref="I29:I30" si="3">SUM(G29,G29,G29)</f>
        <v>13559700</v>
      </c>
      <c r="J29" s="25"/>
      <c r="K29" s="44">
        <f>SUM(I29,I30,I31,I32,I33,I34)</f>
        <v>16342289</v>
      </c>
      <c r="L29" s="4"/>
    </row>
    <row r="30" ht="42.0" customHeight="1">
      <c r="B30" s="33" t="s">
        <v>16</v>
      </c>
      <c r="C30" s="33" t="s">
        <v>76</v>
      </c>
      <c r="D30" s="33" t="s">
        <v>77</v>
      </c>
      <c r="E30" s="33" t="s">
        <v>78</v>
      </c>
      <c r="F30" s="21" t="s">
        <v>79</v>
      </c>
      <c r="G30" s="34">
        <v>699900.0</v>
      </c>
      <c r="H30" s="33">
        <v>3.0</v>
      </c>
      <c r="I30" s="34">
        <f t="shared" si="3"/>
        <v>2099700</v>
      </c>
      <c r="J30" s="25"/>
    </row>
    <row r="31" ht="39.0" customHeight="1">
      <c r="B31" s="33" t="s">
        <v>21</v>
      </c>
      <c r="C31" s="33" t="s">
        <v>80</v>
      </c>
      <c r="D31" s="33" t="s">
        <v>81</v>
      </c>
      <c r="E31" s="33" t="s">
        <v>82</v>
      </c>
      <c r="F31" s="21" t="s">
        <v>83</v>
      </c>
      <c r="G31" s="34">
        <v>79900.0</v>
      </c>
      <c r="H31" s="33">
        <v>1.0</v>
      </c>
      <c r="I31" s="34">
        <v>79900.0</v>
      </c>
    </row>
    <row r="32" ht="34.5" customHeight="1">
      <c r="B32" s="33" t="s">
        <v>25</v>
      </c>
      <c r="C32" s="33" t="s">
        <v>84</v>
      </c>
      <c r="D32" s="33" t="s">
        <v>85</v>
      </c>
      <c r="E32" s="33" t="s">
        <v>86</v>
      </c>
      <c r="F32" s="21" t="s">
        <v>87</v>
      </c>
      <c r="G32" s="34">
        <v>27000.0</v>
      </c>
      <c r="H32" s="33">
        <v>1.0</v>
      </c>
      <c r="I32" s="34">
        <v>27000.0</v>
      </c>
      <c r="J32" s="43"/>
    </row>
    <row r="33" ht="45.0" customHeight="1">
      <c r="B33" s="33" t="s">
        <v>30</v>
      </c>
      <c r="C33" s="33" t="s">
        <v>88</v>
      </c>
      <c r="D33" s="33" t="s">
        <v>89</v>
      </c>
      <c r="E33" s="33" t="s">
        <v>90</v>
      </c>
      <c r="F33" s="21" t="s">
        <v>91</v>
      </c>
      <c r="G33" s="34">
        <v>338999.0</v>
      </c>
      <c r="H33" s="33">
        <v>1.0</v>
      </c>
      <c r="I33" s="34">
        <v>338999.0</v>
      </c>
      <c r="J33" s="43"/>
    </row>
    <row r="34" ht="31.5" customHeight="1">
      <c r="B34" s="33" t="s">
        <v>35</v>
      </c>
      <c r="C34" s="33" t="s">
        <v>92</v>
      </c>
      <c r="D34" s="33" t="s">
        <v>93</v>
      </c>
      <c r="E34" s="33" t="s">
        <v>94</v>
      </c>
      <c r="F34" s="21" t="s">
        <v>95</v>
      </c>
      <c r="G34" s="34">
        <v>236990.0</v>
      </c>
      <c r="H34" s="33">
        <v>1.0</v>
      </c>
      <c r="I34" s="34">
        <v>236990.0</v>
      </c>
      <c r="J34" s="43"/>
    </row>
    <row r="35" ht="14.25" customHeight="1">
      <c r="A35" s="39"/>
      <c r="B35" s="38"/>
      <c r="C35" s="38"/>
      <c r="D35" s="38"/>
      <c r="E35" s="38"/>
      <c r="F35" s="38"/>
      <c r="G35" s="38"/>
      <c r="H35" s="40"/>
    </row>
    <row r="36" ht="14.25" customHeight="1"/>
    <row r="37" ht="14.25" customHeight="1"/>
    <row r="38" ht="14.25" customHeight="1"/>
    <row r="39" ht="14.25" customHeight="1"/>
    <row r="40" ht="14.25" customHeight="1">
      <c r="B40" s="45"/>
    </row>
    <row r="41" ht="45.0" customHeight="1">
      <c r="B41" s="46" t="s">
        <v>96</v>
      </c>
      <c r="C41" s="4"/>
    </row>
    <row r="42">
      <c r="B42" s="31" t="s">
        <v>2</v>
      </c>
      <c r="C42" s="31" t="s">
        <v>3</v>
      </c>
      <c r="D42" s="9" t="s">
        <v>41</v>
      </c>
      <c r="E42" s="9" t="s">
        <v>42</v>
      </c>
      <c r="F42" s="9" t="s">
        <v>6</v>
      </c>
      <c r="G42" s="9" t="s">
        <v>43</v>
      </c>
      <c r="H42" s="9" t="s">
        <v>44</v>
      </c>
      <c r="I42" s="11" t="s">
        <v>97</v>
      </c>
      <c r="K42" s="12" t="s">
        <v>10</v>
      </c>
      <c r="L42" s="4"/>
    </row>
    <row r="43" ht="57.75" customHeight="1">
      <c r="B43" s="35" t="s">
        <v>46</v>
      </c>
      <c r="C43" s="33" t="s">
        <v>98</v>
      </c>
      <c r="D43" s="33" t="s">
        <v>99</v>
      </c>
      <c r="E43" s="33" t="s">
        <v>100</v>
      </c>
      <c r="F43" s="16" t="s">
        <v>15</v>
      </c>
      <c r="G43" s="34">
        <v>5500000.0</v>
      </c>
      <c r="H43" s="33">
        <v>3.0</v>
      </c>
      <c r="I43" s="19">
        <f>G43*H43</f>
        <v>16500000</v>
      </c>
      <c r="K43" s="20">
        <f>SUM(I43,I44,I45,I46,I47,I48)</f>
        <v>17185665</v>
      </c>
      <c r="L43" s="4"/>
    </row>
    <row r="44" ht="31.5" customHeight="1">
      <c r="B44" s="35" t="s">
        <v>16</v>
      </c>
      <c r="C44" s="33" t="s">
        <v>51</v>
      </c>
      <c r="D44" s="33" t="s">
        <v>101</v>
      </c>
      <c r="E44" s="33" t="s">
        <v>102</v>
      </c>
      <c r="F44" s="16" t="s">
        <v>20</v>
      </c>
      <c r="G44" s="34">
        <v>160000.0</v>
      </c>
      <c r="H44" s="33">
        <v>3.0</v>
      </c>
      <c r="I44" s="47">
        <f>SUM(G44,G44,G44)</f>
        <v>480000</v>
      </c>
    </row>
    <row r="45" ht="46.5" customHeight="1">
      <c r="B45" s="35" t="s">
        <v>21</v>
      </c>
      <c r="C45" s="33" t="s">
        <v>55</v>
      </c>
      <c r="D45" s="33" t="s">
        <v>56</v>
      </c>
      <c r="E45" s="33" t="s">
        <v>103</v>
      </c>
      <c r="F45" s="48" t="s">
        <v>58</v>
      </c>
      <c r="G45" s="34">
        <v>23815.0</v>
      </c>
      <c r="H45" s="33">
        <v>1.0</v>
      </c>
      <c r="I45" s="34">
        <v>23815.0</v>
      </c>
      <c r="K45" s="49"/>
    </row>
    <row r="46" ht="39.0" customHeight="1">
      <c r="B46" s="35" t="s">
        <v>25</v>
      </c>
      <c r="C46" s="33" t="s">
        <v>104</v>
      </c>
      <c r="D46" s="33" t="s">
        <v>105</v>
      </c>
      <c r="E46" s="33" t="s">
        <v>106</v>
      </c>
      <c r="F46" s="36" t="s">
        <v>62</v>
      </c>
      <c r="G46" s="34">
        <v>38950.0</v>
      </c>
      <c r="H46" s="33">
        <v>1.0</v>
      </c>
      <c r="I46" s="34">
        <v>38950.0</v>
      </c>
    </row>
    <row r="47" ht="36.0" customHeight="1">
      <c r="B47" s="35" t="s">
        <v>30</v>
      </c>
      <c r="C47" s="33" t="s">
        <v>107</v>
      </c>
      <c r="D47" s="33" t="s">
        <v>108</v>
      </c>
      <c r="E47" s="33" t="s">
        <v>109</v>
      </c>
      <c r="F47" s="36" t="s">
        <v>66</v>
      </c>
      <c r="G47" s="50">
        <v>130900.0</v>
      </c>
      <c r="H47" s="33">
        <v>1.0</v>
      </c>
      <c r="I47" s="50">
        <v>130900.0</v>
      </c>
    </row>
    <row r="48" ht="30.0" customHeight="1">
      <c r="B48" s="35" t="s">
        <v>110</v>
      </c>
      <c r="C48" s="33" t="s">
        <v>111</v>
      </c>
      <c r="D48" s="33" t="s">
        <v>112</v>
      </c>
      <c r="E48" s="33" t="s">
        <v>113</v>
      </c>
      <c r="F48" s="36" t="s">
        <v>114</v>
      </c>
      <c r="G48" s="34">
        <v>12000.0</v>
      </c>
      <c r="H48" s="33">
        <v>1.0</v>
      </c>
      <c r="I48" s="34">
        <v>12000.0</v>
      </c>
    </row>
    <row r="49">
      <c r="A49" s="39"/>
      <c r="B49" s="38"/>
      <c r="C49" s="38"/>
      <c r="D49" s="38"/>
      <c r="E49" s="38"/>
      <c r="F49" s="38"/>
      <c r="G49" s="38"/>
    </row>
    <row r="50">
      <c r="A50" s="51"/>
      <c r="B50" s="51"/>
      <c r="C50" s="51"/>
      <c r="D50" s="51"/>
      <c r="E50" s="51"/>
      <c r="F50" s="51"/>
      <c r="G50" s="8"/>
    </row>
    <row r="51">
      <c r="A51" s="51"/>
      <c r="B51" s="51"/>
      <c r="C51" s="51"/>
      <c r="D51" s="51"/>
      <c r="E51" s="51"/>
      <c r="F51" s="51"/>
      <c r="G51" s="8"/>
    </row>
    <row r="52" ht="43.5" customHeight="1">
      <c r="A52" s="8"/>
      <c r="B52" s="8"/>
      <c r="C52" s="8"/>
      <c r="D52" s="8"/>
      <c r="E52" s="8"/>
      <c r="F52" s="8"/>
      <c r="G52" s="8"/>
    </row>
    <row r="53">
      <c r="A53" s="8"/>
      <c r="B53" s="8"/>
      <c r="C53" s="8"/>
      <c r="D53" s="8"/>
      <c r="E53" s="8"/>
      <c r="F53" s="8"/>
      <c r="G53" s="8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15:C15"/>
    <mergeCell ref="B27:C27"/>
    <mergeCell ref="B41:C41"/>
    <mergeCell ref="K28:L28"/>
    <mergeCell ref="K29:L29"/>
    <mergeCell ref="K42:L42"/>
    <mergeCell ref="K43:L43"/>
    <mergeCell ref="B1:I1"/>
    <mergeCell ref="B3:C3"/>
    <mergeCell ref="K4:L4"/>
    <mergeCell ref="K5:L5"/>
    <mergeCell ref="J12:L12"/>
    <mergeCell ref="K16:L16"/>
    <mergeCell ref="K17:L17"/>
  </mergeCells>
  <hyperlinks>
    <hyperlink r:id="rId1" ref="F5"/>
    <hyperlink r:id="rId2" ref="F6"/>
    <hyperlink r:id="rId3" location="polycard_client=search-nordic&amp;search_layout=stack&amp;position=1&amp;type=product&amp;tracking_id=01619c94-cf51-4e41-b4d3-8fe608f0f959&amp;wid=MCO2928116382&amp;sid=search" ref="F7"/>
    <hyperlink r:id="rId4" location="polycard_client=search-nordic&amp;search_layout=stack&amp;position=1&amp;type=item&amp;tracking_id=71edabc1-f2a5-4a94-ada6-e728f87dee6a&amp;wid=MCO2595667528&amp;sid=search" ref="F8"/>
    <hyperlink r:id="rId5" ref="F9"/>
    <hyperlink r:id="rId6" location="polycard_client=search-nordic&amp;search_layout=stack&amp;position=3&amp;type=product&amp;tracking_id=577cf021-a809-44d4-a2c3-655b4b407fbc&amp;wid=MCO2865439662&amp;sid=search" ref="F10"/>
    <hyperlink r:id="rId7" location="is_advertising=true&amp;backend_model=search-backend&amp;position=1&amp;search_layout=stack&amp;type=pad&amp;tracking_id=982a65ac-405d-4676-bd3a-7d0a08748996&amp;ad_domain=VQCATCORE_LST&amp;ad_position=1&amp;ad_click_id=ZWIxOTI5ZmMtOTcxNy00YjRkLWI2ODItOGVmOWZiY2FmYjM5" ref="F20"/>
    <hyperlink r:id="rId8" ref="F21"/>
    <hyperlink r:id="rId9" ref="F22"/>
    <hyperlink r:id="rId10" ref="F43"/>
    <hyperlink r:id="rId11" ref="F44"/>
    <hyperlink r:id="rId12" location="polycard_client=search-nordic&amp;search_layout=stack&amp;position=1&amp;type=product&amp;tracking_id=13d4efd7-d321-4622-bf69-45587147d565&amp;wid=MCO2894252204&amp;sid=search" ref="F45"/>
    <hyperlink r:id="rId13" location="is_advertising=true&amp;backend_model=search-backend&amp;position=1&amp;search_layout=stack&amp;type=pad&amp;tracking_id=982a65ac-405d-4676-bd3a-7d0a08748996&amp;ad_domain=VQCATCORE_LST&amp;ad_position=1&amp;ad_click_id=ZWIxOTI5ZmMtOTcxNy00YjRkLWI2ODItOGVmOWZiY2FmYjM5" ref="F46"/>
    <hyperlink r:id="rId14" ref="F47"/>
    <hyperlink r:id="rId15" location="polycard_client=search-nordic&amp;search_layout=stack&amp;position=3&amp;type=product&amp;tracking_id=d76254d1-269b-4521-b9c9-bc81bc202c44&amp;wid=MCO592550458&amp;sid=search" ref="F48"/>
  </hyperlinks>
  <printOptions/>
  <pageMargins bottom="1.0" footer="0.0" header="0.0" left="0.75" right="0.75" top="1.0"/>
  <pageSetup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6.29"/>
    <col customWidth="1" min="3" max="3" width="30.86"/>
    <col customWidth="1" min="4" max="4" width="75.57"/>
    <col customWidth="1" min="5" max="5" width="77.14"/>
    <col customWidth="1" min="6" max="6" width="15.86"/>
    <col customWidth="1" min="7" max="7" width="24.43"/>
    <col customWidth="1" min="8" max="8" width="11.0"/>
    <col customWidth="1" min="9" max="9" width="9.14"/>
  </cols>
  <sheetData>
    <row r="1" ht="15.0" customHeight="1">
      <c r="A1" s="25"/>
      <c r="D1" s="52"/>
      <c r="E1" s="52"/>
      <c r="F1" s="52"/>
      <c r="G1" s="52"/>
      <c r="H1" s="52"/>
      <c r="I1" s="52"/>
    </row>
    <row r="2" ht="36.0" customHeight="1">
      <c r="B2" s="6" t="s">
        <v>115</v>
      </c>
      <c r="C2" s="3"/>
      <c r="D2" s="3"/>
      <c r="E2" s="4"/>
    </row>
    <row r="4" ht="12.0" customHeight="1"/>
    <row r="6" ht="33.0" customHeight="1">
      <c r="B6" s="53" t="s">
        <v>116</v>
      </c>
      <c r="C6" s="4"/>
    </row>
    <row r="7" ht="15.0" customHeight="1">
      <c r="B7" s="9" t="s">
        <v>117</v>
      </c>
      <c r="C7" s="9" t="s">
        <v>118</v>
      </c>
      <c r="D7" s="9" t="s">
        <v>41</v>
      </c>
      <c r="E7" s="9" t="s">
        <v>119</v>
      </c>
      <c r="G7" s="54" t="s">
        <v>120</v>
      </c>
    </row>
    <row r="8" ht="30.0" customHeight="1">
      <c r="B8" s="33" t="s">
        <v>121</v>
      </c>
      <c r="C8" s="35" t="s">
        <v>122</v>
      </c>
      <c r="D8" s="33" t="s">
        <v>123</v>
      </c>
      <c r="E8" s="34">
        <v>400000.0</v>
      </c>
      <c r="G8" s="55">
        <v>591000.0</v>
      </c>
    </row>
    <row r="9" ht="15.0" customHeight="1">
      <c r="B9" s="33" t="s">
        <v>124</v>
      </c>
      <c r="C9" s="35" t="s">
        <v>125</v>
      </c>
      <c r="D9" s="33" t="s">
        <v>126</v>
      </c>
      <c r="E9" s="33" t="s">
        <v>127</v>
      </c>
    </row>
    <row r="10" ht="15.0" customHeight="1">
      <c r="B10" s="33" t="s">
        <v>128</v>
      </c>
      <c r="C10" s="35" t="s">
        <v>129</v>
      </c>
      <c r="D10" s="33" t="s">
        <v>130</v>
      </c>
      <c r="E10" s="33" t="s">
        <v>127</v>
      </c>
    </row>
    <row r="11" ht="15.0" customHeight="1">
      <c r="B11" s="33" t="s">
        <v>131</v>
      </c>
      <c r="C11" s="35" t="s">
        <v>132</v>
      </c>
      <c r="D11" s="33" t="s">
        <v>133</v>
      </c>
      <c r="E11" s="33" t="s">
        <v>127</v>
      </c>
    </row>
    <row r="12" ht="15.0" customHeight="1">
      <c r="B12" s="33" t="s">
        <v>134</v>
      </c>
      <c r="C12" s="35" t="s">
        <v>135</v>
      </c>
      <c r="D12" s="33" t="s">
        <v>136</v>
      </c>
      <c r="E12" s="33" t="s">
        <v>127</v>
      </c>
    </row>
    <row r="13" ht="15.0" customHeight="1">
      <c r="B13" s="33" t="s">
        <v>137</v>
      </c>
      <c r="C13" s="35" t="s">
        <v>138</v>
      </c>
      <c r="D13" s="33" t="s">
        <v>139</v>
      </c>
      <c r="E13" s="33" t="s">
        <v>127</v>
      </c>
    </row>
    <row r="14" ht="18.0" customHeight="1">
      <c r="B14" s="33" t="s">
        <v>140</v>
      </c>
      <c r="C14" s="35" t="s">
        <v>141</v>
      </c>
      <c r="D14" s="33" t="s">
        <v>142</v>
      </c>
      <c r="E14" s="33" t="s">
        <v>127</v>
      </c>
    </row>
    <row r="15" ht="15.0" customHeight="1">
      <c r="B15" s="33" t="s">
        <v>143</v>
      </c>
      <c r="C15" s="33" t="s">
        <v>144</v>
      </c>
      <c r="D15" s="33" t="s">
        <v>145</v>
      </c>
      <c r="E15" s="34">
        <v>80000.0</v>
      </c>
    </row>
    <row r="16" ht="15.0" customHeight="1">
      <c r="B16" s="33" t="s">
        <v>146</v>
      </c>
      <c r="C16" s="33" t="s">
        <v>147</v>
      </c>
      <c r="D16" s="33" t="s">
        <v>148</v>
      </c>
      <c r="E16" s="34">
        <v>78000.0</v>
      </c>
    </row>
    <row r="17" ht="15.0" customHeight="1">
      <c r="B17" s="33" t="s">
        <v>149</v>
      </c>
      <c r="C17" s="33" t="s">
        <v>150</v>
      </c>
      <c r="D17" s="33" t="s">
        <v>151</v>
      </c>
      <c r="E17" s="34">
        <v>33000.0</v>
      </c>
    </row>
    <row r="22" ht="26.25" customHeight="1">
      <c r="B22" s="56" t="s">
        <v>40</v>
      </c>
      <c r="C22" s="57"/>
      <c r="D22" s="38"/>
      <c r="E22" s="38"/>
    </row>
    <row r="23" ht="15.0" customHeight="1">
      <c r="B23" s="9" t="s">
        <v>117</v>
      </c>
      <c r="C23" s="9" t="s">
        <v>118</v>
      </c>
      <c r="D23" s="9" t="s">
        <v>41</v>
      </c>
      <c r="E23" s="9" t="s">
        <v>119</v>
      </c>
      <c r="G23" s="54" t="s">
        <v>152</v>
      </c>
    </row>
    <row r="24">
      <c r="B24" s="33" t="s">
        <v>121</v>
      </c>
      <c r="C24" s="35" t="s">
        <v>153</v>
      </c>
      <c r="D24" s="33" t="s">
        <v>154</v>
      </c>
      <c r="E24" s="33" t="s">
        <v>127</v>
      </c>
      <c r="G24" s="58">
        <v>115000.0</v>
      </c>
    </row>
    <row r="25">
      <c r="B25" s="33" t="s">
        <v>124</v>
      </c>
      <c r="C25" s="35" t="s">
        <v>155</v>
      </c>
      <c r="D25" s="33" t="s">
        <v>156</v>
      </c>
      <c r="E25" s="33" t="s">
        <v>127</v>
      </c>
    </row>
    <row r="26">
      <c r="B26" s="33" t="s">
        <v>128</v>
      </c>
      <c r="C26" s="35" t="s">
        <v>157</v>
      </c>
      <c r="D26" s="33" t="s">
        <v>158</v>
      </c>
      <c r="E26" s="33" t="s">
        <v>127</v>
      </c>
    </row>
    <row r="27">
      <c r="B27" s="33" t="s">
        <v>131</v>
      </c>
      <c r="C27" s="35" t="s">
        <v>159</v>
      </c>
      <c r="D27" s="33" t="s">
        <v>160</v>
      </c>
      <c r="E27" s="33" t="s">
        <v>127</v>
      </c>
    </row>
    <row r="28">
      <c r="B28" s="33" t="s">
        <v>134</v>
      </c>
      <c r="C28" s="35" t="s">
        <v>161</v>
      </c>
      <c r="D28" s="33" t="s">
        <v>162</v>
      </c>
      <c r="E28" s="33" t="s">
        <v>127</v>
      </c>
    </row>
    <row r="29">
      <c r="B29" s="33" t="s">
        <v>137</v>
      </c>
      <c r="C29" s="35" t="s">
        <v>163</v>
      </c>
      <c r="D29" s="33" t="s">
        <v>164</v>
      </c>
      <c r="E29" s="33" t="s">
        <v>127</v>
      </c>
    </row>
    <row r="30" ht="15.0" customHeight="1">
      <c r="B30" s="33" t="s">
        <v>140</v>
      </c>
      <c r="C30" s="35" t="s">
        <v>165</v>
      </c>
      <c r="D30" s="33" t="s">
        <v>166</v>
      </c>
      <c r="E30" s="33" t="s">
        <v>127</v>
      </c>
    </row>
    <row r="31" ht="15.0" customHeight="1">
      <c r="B31" s="33" t="s">
        <v>143</v>
      </c>
      <c r="C31" s="33" t="s">
        <v>167</v>
      </c>
      <c r="D31" s="33" t="s">
        <v>168</v>
      </c>
      <c r="E31" s="34">
        <v>50000.0</v>
      </c>
    </row>
    <row r="32" ht="15.0" customHeight="1">
      <c r="B32" s="33" t="s">
        <v>146</v>
      </c>
      <c r="C32" s="33" t="s">
        <v>169</v>
      </c>
      <c r="D32" s="33" t="s">
        <v>161</v>
      </c>
      <c r="E32" s="34">
        <v>45000.0</v>
      </c>
    </row>
    <row r="33" ht="15.0" customHeight="1">
      <c r="B33" s="33" t="s">
        <v>149</v>
      </c>
      <c r="C33" s="33" t="s">
        <v>170</v>
      </c>
      <c r="D33" s="33" t="s">
        <v>171</v>
      </c>
      <c r="E33" s="34">
        <v>20000.0</v>
      </c>
    </row>
    <row r="34" ht="15.0" customHeight="1">
      <c r="B34" s="39"/>
      <c r="C34" s="38"/>
      <c r="D34" s="38"/>
      <c r="E34" s="38"/>
    </row>
    <row r="38" ht="30.0" customHeight="1">
      <c r="B38" s="59" t="s">
        <v>71</v>
      </c>
      <c r="C38" s="57"/>
    </row>
    <row r="39" ht="15.0" customHeight="1">
      <c r="B39" s="9" t="s">
        <v>117</v>
      </c>
      <c r="C39" s="9" t="s">
        <v>118</v>
      </c>
      <c r="D39" s="9" t="s">
        <v>41</v>
      </c>
      <c r="E39" s="9" t="s">
        <v>119</v>
      </c>
      <c r="G39" s="60" t="s">
        <v>172</v>
      </c>
    </row>
    <row r="40" ht="15.0" customHeight="1">
      <c r="B40" s="33" t="s">
        <v>121</v>
      </c>
      <c r="C40" s="35" t="s">
        <v>173</v>
      </c>
      <c r="D40" s="33" t="s">
        <v>174</v>
      </c>
      <c r="E40" s="34">
        <v>1200000.0</v>
      </c>
      <c r="G40" s="11" t="s">
        <v>175</v>
      </c>
    </row>
    <row r="41" ht="15.0" customHeight="1">
      <c r="B41" s="33" t="s">
        <v>124</v>
      </c>
      <c r="C41" s="35" t="s">
        <v>176</v>
      </c>
      <c r="D41" s="33" t="s">
        <v>177</v>
      </c>
      <c r="E41" s="34">
        <v>2500000.0</v>
      </c>
    </row>
    <row r="42" ht="15.0" customHeight="1">
      <c r="B42" s="33" t="s">
        <v>128</v>
      </c>
      <c r="C42" s="35" t="s">
        <v>178</v>
      </c>
      <c r="D42" s="33" t="s">
        <v>179</v>
      </c>
      <c r="E42" s="33" t="s">
        <v>127</v>
      </c>
    </row>
    <row r="43" ht="15.0" customHeight="1">
      <c r="B43" s="33" t="s">
        <v>131</v>
      </c>
      <c r="C43" s="35" t="s">
        <v>180</v>
      </c>
      <c r="D43" s="33" t="s">
        <v>181</v>
      </c>
      <c r="E43" s="33" t="s">
        <v>127</v>
      </c>
    </row>
    <row r="44" ht="15.0" customHeight="1">
      <c r="B44" s="33" t="s">
        <v>134</v>
      </c>
      <c r="C44" s="35" t="s">
        <v>182</v>
      </c>
      <c r="D44" s="33" t="s">
        <v>183</v>
      </c>
      <c r="E44" s="34">
        <v>3000000.0</v>
      </c>
    </row>
    <row r="45" ht="15.0" customHeight="1">
      <c r="B45" s="33" t="s">
        <v>137</v>
      </c>
      <c r="C45" s="35" t="s">
        <v>184</v>
      </c>
      <c r="D45" s="33" t="s">
        <v>185</v>
      </c>
      <c r="E45" s="33" t="s">
        <v>186</v>
      </c>
    </row>
    <row r="46" ht="15.0" customHeight="1">
      <c r="B46" s="33" t="s">
        <v>140</v>
      </c>
      <c r="C46" s="35" t="s">
        <v>187</v>
      </c>
      <c r="D46" s="33" t="s">
        <v>188</v>
      </c>
      <c r="E46" s="34">
        <v>1800000.0</v>
      </c>
    </row>
    <row r="47" ht="15.0" customHeight="1">
      <c r="B47" s="33" t="s">
        <v>143</v>
      </c>
      <c r="C47" s="33" t="s">
        <v>189</v>
      </c>
      <c r="D47" s="33" t="s">
        <v>190</v>
      </c>
      <c r="E47" s="33" t="s">
        <v>191</v>
      </c>
    </row>
    <row r="48" ht="15.0" customHeight="1">
      <c r="B48" s="33" t="s">
        <v>146</v>
      </c>
      <c r="C48" s="33" t="s">
        <v>192</v>
      </c>
      <c r="D48" s="33" t="s">
        <v>193</v>
      </c>
      <c r="E48" s="33" t="s">
        <v>194</v>
      </c>
    </row>
    <row r="49" ht="15.0" customHeight="1">
      <c r="B49" s="33" t="s">
        <v>149</v>
      </c>
      <c r="C49" s="33" t="s">
        <v>195</v>
      </c>
      <c r="D49" s="33" t="s">
        <v>196</v>
      </c>
      <c r="E49" s="33" t="s">
        <v>197</v>
      </c>
    </row>
    <row r="50" ht="15.0" customHeight="1">
      <c r="B50" s="39"/>
      <c r="C50" s="38"/>
      <c r="D50" s="38"/>
      <c r="E50" s="38"/>
    </row>
    <row r="55" ht="27.75" customHeight="1">
      <c r="B55" s="59" t="s">
        <v>198</v>
      </c>
      <c r="C55" s="57"/>
    </row>
    <row r="56" ht="15.0" customHeight="1">
      <c r="B56" s="9" t="s">
        <v>117</v>
      </c>
      <c r="C56" s="9" t="s">
        <v>118</v>
      </c>
      <c r="D56" s="9" t="s">
        <v>41</v>
      </c>
      <c r="E56" s="9" t="s">
        <v>199</v>
      </c>
      <c r="F56" s="9" t="s">
        <v>200</v>
      </c>
      <c r="G56" s="9" t="s">
        <v>44</v>
      </c>
      <c r="H56" s="9" t="s">
        <v>201</v>
      </c>
      <c r="J56" s="61" t="s">
        <v>202</v>
      </c>
      <c r="K56" s="4"/>
    </row>
    <row r="57" ht="15.0" customHeight="1">
      <c r="B57" s="35" t="s">
        <v>121</v>
      </c>
      <c r="C57" s="33" t="s">
        <v>122</v>
      </c>
      <c r="D57" s="33" t="s">
        <v>203</v>
      </c>
      <c r="E57" s="33" t="s">
        <v>204</v>
      </c>
      <c r="F57" s="34">
        <v>400000.0</v>
      </c>
      <c r="G57" s="33">
        <v>1.0</v>
      </c>
      <c r="H57" s="34">
        <v>400000.0</v>
      </c>
      <c r="J57" s="62">
        <f>SUM(H57,H64,H65,H66)</f>
        <v>591000</v>
      </c>
      <c r="K57" s="4"/>
    </row>
    <row r="58" ht="15.0" customHeight="1">
      <c r="B58" s="35" t="s">
        <v>205</v>
      </c>
      <c r="C58" s="33" t="s">
        <v>125</v>
      </c>
      <c r="D58" s="33" t="s">
        <v>206</v>
      </c>
      <c r="E58" s="33" t="s">
        <v>207</v>
      </c>
      <c r="F58" s="33" t="s">
        <v>127</v>
      </c>
      <c r="G58" s="33">
        <v>1.0</v>
      </c>
      <c r="H58" s="33" t="s">
        <v>127</v>
      </c>
    </row>
    <row r="59" ht="15.0" customHeight="1">
      <c r="B59" s="35" t="s">
        <v>128</v>
      </c>
      <c r="C59" s="33" t="s">
        <v>129</v>
      </c>
      <c r="D59" s="33" t="s">
        <v>208</v>
      </c>
      <c r="E59" s="33" t="s">
        <v>209</v>
      </c>
      <c r="F59" s="33" t="s">
        <v>127</v>
      </c>
      <c r="G59" s="33">
        <v>1.0</v>
      </c>
      <c r="H59" s="33" t="s">
        <v>127</v>
      </c>
    </row>
    <row r="60" ht="15.0" customHeight="1">
      <c r="B60" s="35" t="s">
        <v>131</v>
      </c>
      <c r="C60" s="33" t="s">
        <v>132</v>
      </c>
      <c r="D60" s="33" t="s">
        <v>210</v>
      </c>
      <c r="E60" s="33" t="s">
        <v>211</v>
      </c>
      <c r="F60" s="33" t="s">
        <v>127</v>
      </c>
      <c r="G60" s="33">
        <v>1.0</v>
      </c>
      <c r="H60" s="33" t="s">
        <v>127</v>
      </c>
    </row>
    <row r="61" ht="15.0" customHeight="1">
      <c r="B61" s="35" t="s">
        <v>134</v>
      </c>
      <c r="C61" s="33" t="s">
        <v>135</v>
      </c>
      <c r="D61" s="33" t="s">
        <v>212</v>
      </c>
      <c r="E61" s="33" t="s">
        <v>213</v>
      </c>
      <c r="F61" s="33" t="s">
        <v>127</v>
      </c>
      <c r="G61" s="33">
        <v>1.0</v>
      </c>
      <c r="H61" s="33" t="s">
        <v>127</v>
      </c>
    </row>
    <row r="62" ht="15.0" customHeight="1">
      <c r="B62" s="35" t="s">
        <v>137</v>
      </c>
      <c r="C62" s="33" t="s">
        <v>138</v>
      </c>
      <c r="D62" s="33" t="s">
        <v>214</v>
      </c>
      <c r="E62" s="33" t="s">
        <v>215</v>
      </c>
      <c r="F62" s="33" t="s">
        <v>127</v>
      </c>
      <c r="G62" s="33">
        <v>1.0</v>
      </c>
      <c r="H62" s="33" t="s">
        <v>127</v>
      </c>
    </row>
    <row r="63">
      <c r="B63" s="35" t="s">
        <v>216</v>
      </c>
      <c r="C63" s="33" t="s">
        <v>141</v>
      </c>
      <c r="D63" s="33" t="s">
        <v>217</v>
      </c>
      <c r="E63" s="33" t="s">
        <v>218</v>
      </c>
      <c r="F63" s="33" t="s">
        <v>127</v>
      </c>
      <c r="G63" s="33">
        <v>1.0</v>
      </c>
      <c r="H63" s="33" t="s">
        <v>127</v>
      </c>
    </row>
    <row r="64" ht="15.0" customHeight="1">
      <c r="B64" s="35" t="s">
        <v>219</v>
      </c>
      <c r="C64" s="33" t="s">
        <v>220</v>
      </c>
      <c r="D64" s="33" t="s">
        <v>221</v>
      </c>
      <c r="E64" s="33" t="s">
        <v>222</v>
      </c>
      <c r="F64" s="34">
        <v>80000.0</v>
      </c>
      <c r="G64" s="33">
        <v>1.0</v>
      </c>
      <c r="H64" s="34">
        <v>80000.0</v>
      </c>
    </row>
    <row r="65">
      <c r="B65" s="35" t="s">
        <v>146</v>
      </c>
      <c r="C65" s="33" t="s">
        <v>223</v>
      </c>
      <c r="D65" s="33" t="s">
        <v>224</v>
      </c>
      <c r="E65" s="33" t="s">
        <v>225</v>
      </c>
      <c r="F65" s="34">
        <v>78000.0</v>
      </c>
      <c r="G65" s="33">
        <v>1.0</v>
      </c>
      <c r="H65" s="34">
        <v>78000.0</v>
      </c>
    </row>
    <row r="66" ht="15.0" customHeight="1">
      <c r="B66" s="35" t="s">
        <v>226</v>
      </c>
      <c r="C66" s="33" t="s">
        <v>227</v>
      </c>
      <c r="D66" s="33" t="s">
        <v>228</v>
      </c>
      <c r="E66" s="33" t="s">
        <v>229</v>
      </c>
      <c r="F66" s="34">
        <v>33000.0</v>
      </c>
      <c r="G66" s="33">
        <v>1.0</v>
      </c>
      <c r="H66" s="34">
        <v>33000.0</v>
      </c>
    </row>
  </sheetData>
  <mergeCells count="7">
    <mergeCell ref="B2:E2"/>
    <mergeCell ref="B6:C6"/>
    <mergeCell ref="B22:C22"/>
    <mergeCell ref="B38:C38"/>
    <mergeCell ref="B55:C55"/>
    <mergeCell ref="J56:K56"/>
    <mergeCell ref="J57:K5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43"/>
    <col customWidth="1" min="3" max="3" width="40.43"/>
    <col customWidth="1" min="4" max="4" width="52.14"/>
    <col customWidth="1" min="5" max="5" width="74.43"/>
    <col customWidth="1" min="6" max="6" width="20.57"/>
    <col customWidth="1" min="7" max="7" width="10.71"/>
    <col customWidth="1" min="8" max="8" width="40.29"/>
    <col customWidth="1" min="9" max="9" width="10.71"/>
    <col customWidth="1" min="10" max="10" width="20.57"/>
    <col customWidth="1" min="11" max="26" width="10.71"/>
  </cols>
  <sheetData>
    <row r="1" ht="28.5" customHeight="1">
      <c r="B1" s="63" t="s">
        <v>115</v>
      </c>
      <c r="C1" s="64"/>
      <c r="D1" s="64"/>
      <c r="E1" s="64"/>
      <c r="F1" s="65"/>
    </row>
    <row r="2" ht="14.25" customHeight="1"/>
    <row r="3" ht="14.25" customHeight="1"/>
    <row r="4" ht="21.0" customHeight="1">
      <c r="K4" s="41"/>
    </row>
    <row r="5" ht="30.75" customHeight="1">
      <c r="B5" s="53" t="s">
        <v>230</v>
      </c>
      <c r="C5" s="4"/>
      <c r="G5" s="43"/>
      <c r="H5" s="66"/>
      <c r="K5" s="67"/>
    </row>
    <row r="6" ht="14.25" customHeight="1">
      <c r="B6" s="68" t="s">
        <v>117</v>
      </c>
      <c r="C6" s="68" t="s">
        <v>231</v>
      </c>
      <c r="D6" s="9" t="s">
        <v>41</v>
      </c>
      <c r="E6" s="69" t="s">
        <v>232</v>
      </c>
      <c r="F6" s="9" t="s">
        <v>233</v>
      </c>
      <c r="H6" s="70" t="s">
        <v>234</v>
      </c>
    </row>
    <row r="7" ht="36.0" customHeight="1">
      <c r="B7" s="71" t="s">
        <v>21</v>
      </c>
      <c r="C7" s="21" t="s">
        <v>22</v>
      </c>
      <c r="D7" s="33" t="s">
        <v>235</v>
      </c>
      <c r="E7" s="72" t="s">
        <v>236</v>
      </c>
      <c r="F7" s="73">
        <v>25809.0</v>
      </c>
      <c r="H7" s="74">
        <f>SUM(F7,F8,F9,F10,F11,F12,F13)</f>
        <v>3846636</v>
      </c>
    </row>
    <row r="8" ht="33.0" customHeight="1">
      <c r="B8" s="71" t="s">
        <v>237</v>
      </c>
      <c r="C8" s="21" t="s">
        <v>238</v>
      </c>
      <c r="D8" s="33" t="s">
        <v>239</v>
      </c>
      <c r="E8" s="72" t="s">
        <v>240</v>
      </c>
      <c r="F8" s="75" t="s">
        <v>241</v>
      </c>
    </row>
    <row r="9" ht="30.75" customHeight="1">
      <c r="B9" s="71" t="s">
        <v>242</v>
      </c>
      <c r="C9" s="21" t="s">
        <v>243</v>
      </c>
      <c r="D9" s="33" t="s">
        <v>244</v>
      </c>
      <c r="E9" s="76" t="s">
        <v>245</v>
      </c>
      <c r="F9" s="77">
        <v>20000.0</v>
      </c>
    </row>
    <row r="10" ht="30.0" customHeight="1">
      <c r="B10" s="71" t="s">
        <v>246</v>
      </c>
      <c r="C10" s="21" t="s">
        <v>247</v>
      </c>
      <c r="D10" s="33" t="s">
        <v>248</v>
      </c>
      <c r="E10" s="72" t="s">
        <v>249</v>
      </c>
      <c r="F10" s="77">
        <v>12852.0</v>
      </c>
    </row>
    <row r="11" ht="33.0" customHeight="1">
      <c r="B11" s="71" t="s">
        <v>250</v>
      </c>
      <c r="C11" s="21" t="s">
        <v>251</v>
      </c>
      <c r="D11" s="33" t="s">
        <v>252</v>
      </c>
      <c r="E11" s="72" t="s">
        <v>253</v>
      </c>
      <c r="F11" s="17">
        <v>58075.0</v>
      </c>
    </row>
    <row r="12" ht="30.0" customHeight="1">
      <c r="B12" s="71" t="s">
        <v>254</v>
      </c>
      <c r="C12" s="21" t="s">
        <v>255</v>
      </c>
      <c r="D12" s="33" t="s">
        <v>256</v>
      </c>
      <c r="E12" s="78" t="s">
        <v>257</v>
      </c>
      <c r="F12" s="79" t="s">
        <v>258</v>
      </c>
    </row>
    <row r="13" ht="39.75" customHeight="1">
      <c r="B13" s="71" t="s">
        <v>259</v>
      </c>
      <c r="C13" s="21" t="s">
        <v>260</v>
      </c>
      <c r="D13" s="80" t="s">
        <v>261</v>
      </c>
      <c r="E13" s="72" t="s">
        <v>262</v>
      </c>
      <c r="F13" s="17">
        <v>3729900.0</v>
      </c>
    </row>
    <row r="14" ht="32.25" customHeight="1">
      <c r="B14" s="71" t="s">
        <v>263</v>
      </c>
      <c r="C14" s="81" t="s">
        <v>264</v>
      </c>
      <c r="D14" s="33" t="s">
        <v>265</v>
      </c>
      <c r="E14" s="82"/>
      <c r="G14" s="76"/>
      <c r="H14" s="83"/>
    </row>
    <row r="15" ht="14.25" customHeight="1"/>
    <row r="16" ht="14.25" customHeight="1"/>
    <row r="17" ht="14.25" customHeight="1"/>
    <row r="18" ht="14.25" customHeight="1"/>
    <row r="19" ht="16.5" customHeight="1">
      <c r="I19" s="41"/>
    </row>
    <row r="20" ht="27.75" customHeight="1">
      <c r="B20" s="53" t="s">
        <v>266</v>
      </c>
      <c r="C20" s="4"/>
      <c r="I20" s="67"/>
    </row>
    <row r="21" ht="14.25" customHeight="1">
      <c r="B21" s="68" t="s">
        <v>117</v>
      </c>
      <c r="C21" s="84" t="s">
        <v>267</v>
      </c>
      <c r="D21" s="9" t="s">
        <v>41</v>
      </c>
      <c r="E21" s="69" t="s">
        <v>268</v>
      </c>
      <c r="F21" s="85" t="s">
        <v>233</v>
      </c>
      <c r="H21" s="70" t="s">
        <v>269</v>
      </c>
    </row>
    <row r="22" ht="22.5" customHeight="1">
      <c r="B22" s="71" t="s">
        <v>21</v>
      </c>
      <c r="C22" s="21" t="s">
        <v>270</v>
      </c>
      <c r="D22" s="33" t="s">
        <v>235</v>
      </c>
      <c r="E22" s="16" t="s">
        <v>271</v>
      </c>
      <c r="F22" s="86">
        <v>79500.0</v>
      </c>
      <c r="H22" s="74">
        <f>SUM(F22,F23,F24,F25,F26,F27,F28)</f>
        <v>1969001</v>
      </c>
    </row>
    <row r="23" ht="18.0" hidden="1" customHeight="1">
      <c r="B23" s="71" t="s">
        <v>237</v>
      </c>
      <c r="C23" s="21" t="s">
        <v>272</v>
      </c>
      <c r="D23" s="33" t="s">
        <v>239</v>
      </c>
      <c r="E23" s="87" t="s">
        <v>29</v>
      </c>
      <c r="F23" s="88">
        <v>10000.0</v>
      </c>
      <c r="G23" s="76"/>
    </row>
    <row r="24" ht="29.25" customHeight="1">
      <c r="B24" s="71" t="s">
        <v>242</v>
      </c>
      <c r="C24" s="21" t="s">
        <v>273</v>
      </c>
      <c r="D24" s="33" t="s">
        <v>244</v>
      </c>
      <c r="E24" s="16" t="s">
        <v>274</v>
      </c>
      <c r="F24" s="89">
        <v>73511.0</v>
      </c>
    </row>
    <row r="25" ht="31.5" customHeight="1">
      <c r="B25" s="71" t="s">
        <v>246</v>
      </c>
      <c r="C25" s="21" t="s">
        <v>275</v>
      </c>
      <c r="D25" s="33" t="s">
        <v>248</v>
      </c>
      <c r="E25" s="16" t="s">
        <v>276</v>
      </c>
      <c r="F25" s="90">
        <v>11000.0</v>
      </c>
    </row>
    <row r="26" ht="24.75" customHeight="1">
      <c r="B26" s="71" t="s">
        <v>250</v>
      </c>
      <c r="C26" s="21" t="s">
        <v>277</v>
      </c>
      <c r="D26" s="33" t="s">
        <v>252</v>
      </c>
      <c r="E26" s="16" t="s">
        <v>278</v>
      </c>
      <c r="F26" s="88">
        <v>10000.0</v>
      </c>
    </row>
    <row r="27" ht="24.0" customHeight="1">
      <c r="B27" s="71" t="s">
        <v>254</v>
      </c>
      <c r="C27" s="21" t="s">
        <v>279</v>
      </c>
      <c r="D27" s="33" t="s">
        <v>256</v>
      </c>
      <c r="E27" s="91" t="s">
        <v>280</v>
      </c>
      <c r="F27" s="92">
        <v>15000.0</v>
      </c>
    </row>
    <row r="28" ht="30.0" customHeight="1">
      <c r="B28" s="71" t="s">
        <v>259</v>
      </c>
      <c r="C28" s="21" t="s">
        <v>281</v>
      </c>
      <c r="D28" s="33" t="s">
        <v>261</v>
      </c>
      <c r="E28" s="16" t="s">
        <v>282</v>
      </c>
      <c r="F28" s="88">
        <v>1769990.0</v>
      </c>
    </row>
    <row r="29" ht="14.25" customHeight="1">
      <c r="B29" s="71" t="s">
        <v>263</v>
      </c>
      <c r="C29" s="21" t="s">
        <v>283</v>
      </c>
      <c r="D29" s="33" t="s">
        <v>265</v>
      </c>
    </row>
    <row r="30" ht="14.25" customHeight="1"/>
    <row r="31" ht="14.25" customHeight="1"/>
    <row r="32" ht="14.25" customHeight="1"/>
    <row r="33" ht="14.25" customHeight="1">
      <c r="I33" s="41"/>
    </row>
    <row r="34" ht="14.25" customHeight="1">
      <c r="B34" s="53" t="s">
        <v>284</v>
      </c>
      <c r="C34" s="4"/>
      <c r="I34" s="67"/>
    </row>
    <row r="35" ht="36.0" customHeight="1">
      <c r="B35" s="68" t="s">
        <v>117</v>
      </c>
      <c r="C35" s="68" t="s">
        <v>285</v>
      </c>
      <c r="D35" s="9" t="s">
        <v>41</v>
      </c>
      <c r="E35" s="11" t="s">
        <v>286</v>
      </c>
      <c r="F35" s="9" t="s">
        <v>233</v>
      </c>
      <c r="H35" s="70" t="s">
        <v>287</v>
      </c>
    </row>
    <row r="36" ht="25.5" customHeight="1">
      <c r="B36" s="71" t="s">
        <v>21</v>
      </c>
      <c r="C36" s="21" t="s">
        <v>288</v>
      </c>
      <c r="D36" s="33" t="s">
        <v>235</v>
      </c>
      <c r="E36" s="16" t="s">
        <v>289</v>
      </c>
      <c r="F36" s="93">
        <v>46000.0</v>
      </c>
      <c r="H36" s="74">
        <f>SUM(F36,F37,F38,F39,F40,F41,F42)</f>
        <v>3051474.14</v>
      </c>
    </row>
    <row r="37" ht="30.0" customHeight="1">
      <c r="B37" s="71" t="s">
        <v>237</v>
      </c>
      <c r="C37" s="21" t="s">
        <v>290</v>
      </c>
      <c r="D37" s="33" t="s">
        <v>239</v>
      </c>
      <c r="E37" s="72" t="s">
        <v>291</v>
      </c>
      <c r="F37" s="93">
        <v>24990.0</v>
      </c>
    </row>
    <row r="38" ht="28.5" customHeight="1">
      <c r="B38" s="71" t="s">
        <v>242</v>
      </c>
      <c r="C38" s="21" t="s">
        <v>292</v>
      </c>
      <c r="D38" s="33" t="s">
        <v>244</v>
      </c>
      <c r="E38" s="16" t="s">
        <v>293</v>
      </c>
      <c r="F38" s="93">
        <v>256445.0</v>
      </c>
    </row>
    <row r="39" ht="30.0" customHeight="1">
      <c r="B39" s="71" t="s">
        <v>246</v>
      </c>
      <c r="C39" s="21" t="s">
        <v>294</v>
      </c>
      <c r="D39" s="33" t="s">
        <v>248</v>
      </c>
      <c r="E39" s="16" t="s">
        <v>295</v>
      </c>
      <c r="F39" s="94">
        <v>29400.14</v>
      </c>
    </row>
    <row r="40" ht="16.5" customHeight="1">
      <c r="B40" s="71" t="s">
        <v>250</v>
      </c>
      <c r="C40" s="21" t="s">
        <v>296</v>
      </c>
      <c r="D40" s="33" t="s">
        <v>252</v>
      </c>
      <c r="E40" s="16" t="s">
        <v>297</v>
      </c>
      <c r="F40" s="93">
        <v>12290.0</v>
      </c>
    </row>
    <row r="41" ht="27.0" customHeight="1">
      <c r="B41" s="71" t="s">
        <v>254</v>
      </c>
      <c r="C41" s="21" t="s">
        <v>298</v>
      </c>
      <c r="D41" s="33" t="s">
        <v>256</v>
      </c>
      <c r="E41" s="16" t="s">
        <v>299</v>
      </c>
      <c r="F41" s="93">
        <v>42449.0</v>
      </c>
    </row>
    <row r="42" ht="27.0" customHeight="1">
      <c r="B42" s="71" t="s">
        <v>259</v>
      </c>
      <c r="C42" s="21" t="s">
        <v>300</v>
      </c>
      <c r="D42" s="33" t="s">
        <v>261</v>
      </c>
      <c r="E42" s="16" t="s">
        <v>301</v>
      </c>
      <c r="F42" s="93">
        <v>2639900.0</v>
      </c>
    </row>
    <row r="43" ht="14.25" customHeight="1">
      <c r="B43" s="71" t="s">
        <v>263</v>
      </c>
      <c r="C43" s="21" t="s">
        <v>302</v>
      </c>
      <c r="D43" s="33" t="s">
        <v>265</v>
      </c>
    </row>
    <row r="44" ht="14.25" customHeight="1"/>
    <row r="45" ht="14.25" customHeight="1"/>
    <row r="46" ht="14.25" customHeight="1">
      <c r="B46" s="25"/>
      <c r="C46" s="95"/>
      <c r="I46" s="96"/>
    </row>
    <row r="47" ht="43.5" customHeight="1">
      <c r="B47" s="46" t="s">
        <v>96</v>
      </c>
      <c r="C47" s="4"/>
      <c r="I47" s="67"/>
    </row>
    <row r="48" ht="46.5" customHeight="1">
      <c r="B48" s="31" t="s">
        <v>117</v>
      </c>
      <c r="C48" s="31" t="s">
        <v>303</v>
      </c>
      <c r="D48" s="9" t="s">
        <v>41</v>
      </c>
      <c r="E48" s="9" t="s">
        <v>304</v>
      </c>
      <c r="F48" s="9" t="s">
        <v>305</v>
      </c>
      <c r="H48" s="97" t="s">
        <v>306</v>
      </c>
      <c r="I48" s="38"/>
    </row>
    <row r="49" ht="45.75" customHeight="1">
      <c r="B49" s="35" t="s">
        <v>21</v>
      </c>
      <c r="C49" s="35" t="s">
        <v>288</v>
      </c>
      <c r="D49" s="33" t="s">
        <v>235</v>
      </c>
      <c r="E49" s="33" t="s">
        <v>307</v>
      </c>
      <c r="F49" s="98">
        <v>46000.0</v>
      </c>
      <c r="H49" s="74">
        <f>SUM(F53,F49,F50,F51,F52,F54,F55)</f>
        <v>2181564</v>
      </c>
    </row>
    <row r="50" ht="14.25" customHeight="1">
      <c r="B50" s="35" t="s">
        <v>237</v>
      </c>
      <c r="C50" s="35" t="s">
        <v>290</v>
      </c>
      <c r="D50" s="33" t="s">
        <v>239</v>
      </c>
      <c r="E50" s="33" t="s">
        <v>308</v>
      </c>
      <c r="F50" s="98">
        <v>24990.0</v>
      </c>
      <c r="H50" s="22" t="s">
        <v>309</v>
      </c>
    </row>
    <row r="51" ht="14.25" customHeight="1">
      <c r="B51" s="35" t="s">
        <v>242</v>
      </c>
      <c r="C51" s="35" t="s">
        <v>292</v>
      </c>
      <c r="D51" s="33" t="s">
        <v>244</v>
      </c>
      <c r="E51" s="33" t="s">
        <v>310</v>
      </c>
      <c r="F51" s="98">
        <v>256445.0</v>
      </c>
    </row>
    <row r="52" ht="14.25" customHeight="1">
      <c r="B52" s="35" t="s">
        <v>246</v>
      </c>
      <c r="C52" s="35" t="s">
        <v>311</v>
      </c>
      <c r="D52" s="33" t="s">
        <v>248</v>
      </c>
      <c r="E52" s="33" t="s">
        <v>312</v>
      </c>
      <c r="F52" s="98">
        <v>29400.0</v>
      </c>
    </row>
    <row r="53" ht="14.25" customHeight="1">
      <c r="B53" s="35" t="s">
        <v>250</v>
      </c>
      <c r="C53" s="35" t="s">
        <v>313</v>
      </c>
      <c r="D53" s="33" t="s">
        <v>252</v>
      </c>
      <c r="E53" s="33" t="s">
        <v>314</v>
      </c>
      <c r="F53" s="98">
        <v>12290.0</v>
      </c>
    </row>
    <row r="54" ht="14.25" customHeight="1">
      <c r="B54" s="35" t="s">
        <v>254</v>
      </c>
      <c r="C54" s="35" t="s">
        <v>298</v>
      </c>
      <c r="D54" s="33" t="s">
        <v>315</v>
      </c>
      <c r="E54" s="33" t="s">
        <v>316</v>
      </c>
      <c r="F54" s="98">
        <v>42449.0</v>
      </c>
    </row>
    <row r="55" ht="14.25" customHeight="1">
      <c r="B55" s="35" t="s">
        <v>259</v>
      </c>
      <c r="C55" s="35" t="s">
        <v>260</v>
      </c>
      <c r="D55" s="33" t="s">
        <v>261</v>
      </c>
      <c r="E55" s="33" t="s">
        <v>317</v>
      </c>
      <c r="F55" s="88">
        <v>1769990.0</v>
      </c>
    </row>
    <row r="56" ht="14.25" customHeight="1">
      <c r="B56" s="35" t="s">
        <v>263</v>
      </c>
      <c r="C56" s="35" t="s">
        <v>318</v>
      </c>
      <c r="D56" s="33" t="s">
        <v>265</v>
      </c>
      <c r="E56" s="33" t="s">
        <v>319</v>
      </c>
      <c r="F56" s="33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F1"/>
    <mergeCell ref="B5:C5"/>
    <mergeCell ref="B20:C20"/>
    <mergeCell ref="B34:C34"/>
    <mergeCell ref="B47:C47"/>
  </mergeCells>
  <hyperlinks>
    <hyperlink r:id="rId1" location="polycard_client=search-nordic&amp;search_layout=stack&amp;position=1&amp;type=product&amp;tracking_id=e9b640a9-9974-41b3-a27b-0f259dbf927b&amp;wid=MCO2928116382&amp;sid=search" ref="E7"/>
    <hyperlink r:id="rId2" location="polycard_client=search-nordic&amp;search_layout=stack&amp;position=4&amp;type=item&amp;tracking_id=fb159bdf-3bff-4807-8462-d37cdbac31ff&amp;wid=MCO512369193&amp;sid=search" ref="E9"/>
    <hyperlink r:id="rId3" location="polycard_client=search-nordic&amp;searchVariation=176388558545&amp;search_layout=stack&amp;position=1&amp;type=item&amp;tracking_id=4b7870ec-1795-472d-a305-7ff04d05f680" ref="E10"/>
    <hyperlink r:id="rId4" location="polycard_client=search-nordic&amp;search_layout=stack&amp;position=3&amp;type=product&amp;tracking_id=577cf021-a809-44d4-a2c3-655b4b407fbc&amp;wid=MCO2865439662&amp;sid=search" ref="E11"/>
    <hyperlink r:id="rId5" location="is_advertising=true&amp;backend_model=search-backend&amp;position=1&amp;search_layout=stack&amp;type=pad&amp;tracking_id=a1e6c6a9-fc92-412a-8368-fa8364d1dbb3&amp;ad_domain=VQCATCORE_LST&amp;ad_position=1&amp;ad_click_id=YTIxNTAyYzUtZDg1Ny00MjI3LWE3ZmQtZmMyYmFjMTg3ODZh" ref="E12"/>
    <hyperlink r:id="rId6" ref="E13"/>
    <hyperlink r:id="rId7" location="polycard_client=search-nordic&amp;search_layout=stack&amp;position=1&amp;type=product&amp;tracking_id=1347862a-f1c8-42b4-bc85-2bc7104eb1f3&amp;wid=MCO2854613514&amp;sid=search" ref="E22"/>
    <hyperlink r:id="rId8" location="polycard_client=search-nordic&amp;search_layout=stack&amp;position=1&amp;type=item&amp;tracking_id=71edabc1-f2a5-4a94-ada6-e728f87dee6a&amp;wid=MCO2595667528&amp;sid=search" ref="E23"/>
    <hyperlink r:id="rId9" location="polycard_client=search-nordic&amp;search_layout=stack&amp;position=3&amp;type=item&amp;tracking_id=ed4859f8-7dd4-4f40-95b6-831ea6ed1b8c&amp;wid=MCO938013356&amp;sid=search" ref="E25"/>
    <hyperlink r:id="rId10" location="polycard_client=search-nordic&amp;search_layout=stack&amp;position=2&amp;type=product&amp;tracking_id=ccce2e0b-5097-4738-b12e-d4b8ffcdf4d6&amp;wid=MCO451706955&amp;sid=search}" ref="E26"/>
    <hyperlink r:id="rId11" ref="E27"/>
    <hyperlink r:id="rId12" ref="E28"/>
    <hyperlink r:id="rId13" ref="E36"/>
    <hyperlink r:id="rId14" location="polycard_client=search-nordic&amp;search_layout=stack&amp;position=2&amp;type=item&amp;tracking_id=a57e4819-8c4c-4a66-b1ce-5b4a7ce33346&amp;wid=MCO562549343&amp;sid=search" ref="E37"/>
    <hyperlink r:id="rId15" location="attr=" ref="E39"/>
    <hyperlink r:id="rId16" ref="E40"/>
    <hyperlink r:id="rId17" location="polycard_client=search-nordic&amp;search_layout=stack&amp;position=3&amp;type=product&amp;tracking_id=b11923e9-6c78-4673-89a8-50f4b9bc819c&amp;wid=MCO1389645235&amp;sid=search" ref="E41"/>
    <hyperlink r:id="rId18" ref="E42"/>
  </hyperlinks>
  <printOptions/>
  <pageMargins bottom="0.75" footer="0.0" header="0.0" left="0.7" right="0.7" top="0.75"/>
  <pageSetup paperSize="9" orientation="portrait"/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43"/>
    <col customWidth="1" min="3" max="3" width="32.0"/>
    <col customWidth="1" min="4" max="4" width="35.43"/>
    <col customWidth="1" min="5" max="5" width="19.57"/>
    <col customWidth="1" min="6" max="6" width="12.57"/>
    <col customWidth="1" min="7" max="26" width="10.71"/>
  </cols>
  <sheetData>
    <row r="1" ht="14.25" customHeight="1">
      <c r="B1" s="6" t="s">
        <v>115</v>
      </c>
      <c r="C1" s="3"/>
      <c r="D1" s="3"/>
      <c r="E1" s="4"/>
    </row>
    <row r="2" ht="14.25" customHeight="1"/>
    <row r="3" ht="14.25" customHeight="1"/>
    <row r="4" ht="14.25" customHeight="1"/>
    <row r="5" ht="14.25" customHeight="1">
      <c r="B5" s="53" t="s">
        <v>320</v>
      </c>
      <c r="C5" s="4"/>
    </row>
    <row r="6" ht="14.25" customHeight="1">
      <c r="B6" s="9" t="s">
        <v>117</v>
      </c>
      <c r="C6" s="9" t="s">
        <v>3</v>
      </c>
      <c r="D6" s="9" t="s">
        <v>41</v>
      </c>
      <c r="E6" s="9" t="s">
        <v>45</v>
      </c>
      <c r="F6" s="99"/>
      <c r="G6" s="60" t="s">
        <v>321</v>
      </c>
    </row>
    <row r="7" ht="21.75" customHeight="1">
      <c r="B7" s="35" t="s">
        <v>322</v>
      </c>
      <c r="C7" s="33" t="s">
        <v>122</v>
      </c>
      <c r="D7" s="33" t="s">
        <v>323</v>
      </c>
      <c r="E7" s="73">
        <v>400000.0</v>
      </c>
      <c r="G7" s="100">
        <v>700000.0</v>
      </c>
    </row>
    <row r="8" ht="14.25" customHeight="1">
      <c r="B8" s="35" t="s">
        <v>324</v>
      </c>
      <c r="C8" s="33" t="s">
        <v>325</v>
      </c>
      <c r="D8" s="33" t="s">
        <v>326</v>
      </c>
      <c r="E8" s="101" t="s">
        <v>127</v>
      </c>
    </row>
    <row r="9" ht="14.25" customHeight="1">
      <c r="B9" s="35" t="s">
        <v>327</v>
      </c>
      <c r="C9" s="33" t="s">
        <v>328</v>
      </c>
      <c r="D9" s="33" t="s">
        <v>329</v>
      </c>
      <c r="E9" s="101" t="s">
        <v>330</v>
      </c>
    </row>
    <row r="10" ht="14.25" customHeight="1">
      <c r="B10" s="35" t="s">
        <v>331</v>
      </c>
      <c r="C10" s="33" t="s">
        <v>332</v>
      </c>
      <c r="D10" s="33" t="s">
        <v>333</v>
      </c>
      <c r="E10" s="101" t="s">
        <v>334</v>
      </c>
    </row>
    <row r="11" ht="14.25" customHeight="1">
      <c r="B11" s="35" t="s">
        <v>335</v>
      </c>
      <c r="C11" s="33" t="s">
        <v>336</v>
      </c>
      <c r="D11" s="33" t="s">
        <v>337</v>
      </c>
      <c r="E11" s="101" t="s">
        <v>127</v>
      </c>
    </row>
    <row r="12" ht="14.25" customHeight="1">
      <c r="B12" s="35" t="s">
        <v>338</v>
      </c>
      <c r="C12" s="33" t="s">
        <v>339</v>
      </c>
      <c r="D12" s="33" t="s">
        <v>340</v>
      </c>
      <c r="E12" s="101" t="s">
        <v>127</v>
      </c>
    </row>
    <row r="13" ht="14.25" customHeight="1">
      <c r="B13" s="39"/>
      <c r="C13" s="38"/>
      <c r="D13" s="38"/>
      <c r="E13" s="102"/>
    </row>
    <row r="14" ht="30.0" customHeight="1"/>
    <row r="15" ht="14.25" customHeight="1"/>
    <row r="16" ht="14.25" customHeight="1"/>
    <row r="17" ht="14.25" customHeight="1">
      <c r="B17" s="53" t="s">
        <v>341</v>
      </c>
      <c r="C17" s="4"/>
    </row>
    <row r="18" ht="14.25" customHeight="1">
      <c r="B18" s="9" t="s">
        <v>117</v>
      </c>
      <c r="C18" s="9" t="s">
        <v>3</v>
      </c>
      <c r="D18" s="9" t="s">
        <v>41</v>
      </c>
      <c r="E18" s="9" t="s">
        <v>45</v>
      </c>
      <c r="G18" s="103" t="s">
        <v>342</v>
      </c>
    </row>
    <row r="19" ht="14.25" customHeight="1">
      <c r="B19" s="35" t="s">
        <v>322</v>
      </c>
      <c r="C19" s="33" t="s">
        <v>343</v>
      </c>
      <c r="D19" s="33" t="s">
        <v>344</v>
      </c>
      <c r="E19" s="33" t="s">
        <v>127</v>
      </c>
      <c r="G19" s="10" t="s">
        <v>345</v>
      </c>
    </row>
    <row r="20" ht="14.25" customHeight="1">
      <c r="B20" s="35" t="s">
        <v>324</v>
      </c>
      <c r="C20" s="33" t="s">
        <v>346</v>
      </c>
      <c r="D20" s="33" t="s">
        <v>347</v>
      </c>
      <c r="E20" s="33" t="s">
        <v>127</v>
      </c>
    </row>
    <row r="21" ht="14.25" customHeight="1">
      <c r="B21" s="35" t="s">
        <v>327</v>
      </c>
      <c r="C21" s="33" t="s">
        <v>348</v>
      </c>
      <c r="D21" s="33" t="s">
        <v>349</v>
      </c>
      <c r="E21" s="33" t="s">
        <v>127</v>
      </c>
    </row>
    <row r="22" ht="14.25" customHeight="1">
      <c r="B22" s="35" t="s">
        <v>331</v>
      </c>
      <c r="C22" s="33" t="s">
        <v>350</v>
      </c>
      <c r="D22" s="33" t="s">
        <v>351</v>
      </c>
      <c r="E22" s="33" t="s">
        <v>127</v>
      </c>
    </row>
    <row r="23" ht="14.25" customHeight="1">
      <c r="B23" s="35" t="s">
        <v>335</v>
      </c>
      <c r="C23" s="33" t="s">
        <v>352</v>
      </c>
      <c r="D23" s="33" t="s">
        <v>353</v>
      </c>
      <c r="E23" s="33" t="s">
        <v>127</v>
      </c>
    </row>
    <row r="24" ht="14.25" customHeight="1">
      <c r="B24" s="35" t="s">
        <v>338</v>
      </c>
      <c r="C24" s="33" t="s">
        <v>354</v>
      </c>
      <c r="D24" s="33" t="s">
        <v>355</v>
      </c>
      <c r="E24" s="33" t="s">
        <v>127</v>
      </c>
    </row>
    <row r="25" ht="14.25" customHeight="1">
      <c r="B25" s="39"/>
      <c r="C25" s="38"/>
      <c r="D25" s="38"/>
      <c r="E25" s="39"/>
    </row>
    <row r="26" ht="14.25" customHeight="1"/>
    <row r="27" ht="14.25" customHeight="1"/>
    <row r="28" ht="14.25" customHeight="1"/>
    <row r="29" ht="14.25" customHeight="1">
      <c r="B29" s="53" t="s">
        <v>356</v>
      </c>
      <c r="C29" s="4"/>
    </row>
    <row r="30" ht="14.25" customHeight="1">
      <c r="B30" s="9" t="s">
        <v>117</v>
      </c>
      <c r="C30" s="9" t="s">
        <v>3</v>
      </c>
      <c r="D30" s="9" t="s">
        <v>41</v>
      </c>
      <c r="E30" s="9" t="s">
        <v>45</v>
      </c>
      <c r="G30" s="60" t="s">
        <v>342</v>
      </c>
    </row>
    <row r="31" ht="14.25" customHeight="1">
      <c r="B31" s="35" t="s">
        <v>322</v>
      </c>
      <c r="C31" s="33" t="s">
        <v>357</v>
      </c>
      <c r="D31" s="33" t="s">
        <v>358</v>
      </c>
      <c r="E31" s="73">
        <v>450000.0</v>
      </c>
      <c r="G31" s="100">
        <v>1490000.0</v>
      </c>
    </row>
    <row r="32" ht="14.25" customHeight="1">
      <c r="B32" s="35" t="s">
        <v>324</v>
      </c>
      <c r="C32" s="33" t="s">
        <v>359</v>
      </c>
      <c r="D32" s="33" t="s">
        <v>360</v>
      </c>
      <c r="E32" s="101" t="s">
        <v>127</v>
      </c>
    </row>
    <row r="33" ht="14.25" customHeight="1">
      <c r="B33" s="35" t="s">
        <v>327</v>
      </c>
      <c r="C33" s="33" t="s">
        <v>361</v>
      </c>
      <c r="D33" s="33" t="s">
        <v>362</v>
      </c>
      <c r="E33" s="101" t="s">
        <v>363</v>
      </c>
    </row>
    <row r="34" ht="14.25" customHeight="1">
      <c r="B34" s="35" t="s">
        <v>331</v>
      </c>
      <c r="C34" s="33" t="s">
        <v>364</v>
      </c>
      <c r="D34" s="33" t="s">
        <v>365</v>
      </c>
      <c r="E34" s="101" t="s">
        <v>366</v>
      </c>
    </row>
    <row r="35" ht="14.25" customHeight="1">
      <c r="B35" s="35" t="s">
        <v>335</v>
      </c>
      <c r="C35" s="33" t="s">
        <v>367</v>
      </c>
      <c r="D35" s="33" t="s">
        <v>368</v>
      </c>
      <c r="E35" s="101" t="s">
        <v>369</v>
      </c>
    </row>
    <row r="36" ht="14.25" customHeight="1">
      <c r="B36" s="35" t="s">
        <v>338</v>
      </c>
      <c r="C36" s="33" t="s">
        <v>370</v>
      </c>
      <c r="D36" s="33" t="s">
        <v>371</v>
      </c>
      <c r="E36" s="101" t="s">
        <v>372</v>
      </c>
    </row>
    <row r="37" ht="14.25" customHeight="1">
      <c r="B37" s="39"/>
      <c r="C37" s="38"/>
      <c r="D37" s="38"/>
      <c r="E37" s="40"/>
    </row>
    <row r="38" ht="14.25" customHeight="1"/>
    <row r="39" ht="28.5" customHeight="1"/>
    <row r="40" ht="14.25" customHeight="1"/>
    <row r="41" ht="14.25" customHeight="1">
      <c r="B41" s="53" t="s">
        <v>198</v>
      </c>
      <c r="C41" s="4"/>
    </row>
    <row r="42" ht="14.25" customHeight="1">
      <c r="B42" s="9" t="s">
        <v>117</v>
      </c>
      <c r="C42" s="9" t="s">
        <v>373</v>
      </c>
      <c r="D42" s="9" t="s">
        <v>374</v>
      </c>
      <c r="F42" s="60" t="s">
        <v>375</v>
      </c>
    </row>
    <row r="43" ht="14.25" customHeight="1">
      <c r="B43" s="35" t="s">
        <v>322</v>
      </c>
      <c r="C43" s="33" t="s">
        <v>376</v>
      </c>
      <c r="D43" s="33" t="s">
        <v>377</v>
      </c>
      <c r="F43" s="100">
        <v>700000.0</v>
      </c>
    </row>
    <row r="44" ht="14.25" customHeight="1">
      <c r="B44" s="35" t="s">
        <v>324</v>
      </c>
      <c r="C44" s="33" t="s">
        <v>378</v>
      </c>
      <c r="D44" s="33" t="s">
        <v>379</v>
      </c>
    </row>
    <row r="45" ht="14.25" customHeight="1">
      <c r="B45" s="35" t="s">
        <v>327</v>
      </c>
      <c r="C45" s="33" t="s">
        <v>380</v>
      </c>
      <c r="D45" s="33" t="s">
        <v>381</v>
      </c>
    </row>
    <row r="46" ht="14.25" customHeight="1">
      <c r="B46" s="35" t="s">
        <v>331</v>
      </c>
      <c r="C46" s="33" t="s">
        <v>332</v>
      </c>
      <c r="D46" s="33" t="s">
        <v>382</v>
      </c>
    </row>
    <row r="47" ht="14.25" customHeight="1">
      <c r="B47" s="35" t="s">
        <v>335</v>
      </c>
      <c r="C47" s="33" t="s">
        <v>336</v>
      </c>
      <c r="D47" s="33" t="s">
        <v>383</v>
      </c>
    </row>
    <row r="48" ht="14.25" customHeight="1">
      <c r="B48" s="35" t="s">
        <v>338</v>
      </c>
      <c r="C48" s="33" t="s">
        <v>384</v>
      </c>
      <c r="D48" s="33" t="s">
        <v>385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E1"/>
    <mergeCell ref="B5:C5"/>
    <mergeCell ref="B17:C17"/>
    <mergeCell ref="B29:C29"/>
    <mergeCell ref="B41:C4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6.57"/>
    <col customWidth="1" min="3" max="3" width="39.29"/>
    <col customWidth="1" min="4" max="4" width="58.43"/>
    <col customWidth="1" min="5" max="5" width="40.43"/>
    <col customWidth="1" min="6" max="6" width="45.14"/>
    <col customWidth="1" min="7" max="7" width="27.29"/>
    <col customWidth="1" min="8" max="8" width="33.86"/>
    <col customWidth="1" min="9" max="9" width="18.86"/>
    <col customWidth="1" min="10" max="10" width="22.57"/>
    <col customWidth="1" min="11" max="12" width="8.86"/>
    <col customWidth="1" min="13" max="13" width="14.71"/>
    <col customWidth="1" min="14" max="26" width="8.86"/>
  </cols>
  <sheetData>
    <row r="1" ht="22.5" customHeight="1">
      <c r="B1" s="43"/>
      <c r="C1" s="43"/>
      <c r="D1" s="43"/>
      <c r="E1" s="43"/>
      <c r="F1" s="43"/>
      <c r="G1" s="43"/>
    </row>
    <row r="2" ht="24.0" customHeight="1">
      <c r="B2" s="104" t="s">
        <v>386</v>
      </c>
      <c r="C2" s="3"/>
      <c r="D2" s="3"/>
      <c r="E2" s="4"/>
      <c r="F2" s="49"/>
      <c r="H2" s="49"/>
      <c r="I2" s="49"/>
      <c r="J2" s="49"/>
      <c r="K2" s="49"/>
      <c r="L2" s="49"/>
      <c r="M2" s="49"/>
      <c r="N2" s="49"/>
      <c r="O2" s="49"/>
    </row>
    <row r="3" ht="26.25" customHeight="1">
      <c r="B3" s="105"/>
      <c r="C3" s="105"/>
      <c r="D3" s="105"/>
      <c r="F3" s="105"/>
      <c r="G3" s="43"/>
    </row>
    <row r="4">
      <c r="B4" s="106" t="s">
        <v>387</v>
      </c>
      <c r="C4" s="57"/>
    </row>
    <row r="5">
      <c r="B5" s="107" t="s">
        <v>117</v>
      </c>
      <c r="C5" s="107" t="s">
        <v>388</v>
      </c>
      <c r="D5" s="107" t="s">
        <v>389</v>
      </c>
      <c r="E5" s="107" t="s">
        <v>233</v>
      </c>
    </row>
    <row r="6" ht="14.25" customHeight="1">
      <c r="B6" s="108" t="s">
        <v>390</v>
      </c>
      <c r="C6" s="109" t="s">
        <v>391</v>
      </c>
      <c r="D6" s="108" t="s">
        <v>392</v>
      </c>
      <c r="E6" s="98">
        <v>1299900.0</v>
      </c>
    </row>
    <row r="7" ht="14.25" customHeight="1">
      <c r="B7" s="108" t="s">
        <v>393</v>
      </c>
      <c r="C7" s="109" t="s">
        <v>394</v>
      </c>
      <c r="D7" s="108" t="s">
        <v>395</v>
      </c>
      <c r="E7" s="98">
        <v>1799000.0</v>
      </c>
    </row>
    <row r="8" ht="14.25" customHeight="1">
      <c r="B8" s="108" t="s">
        <v>396</v>
      </c>
      <c r="C8" s="109" t="s">
        <v>397</v>
      </c>
      <c r="D8" s="108" t="s">
        <v>398</v>
      </c>
      <c r="E8" s="108" t="s">
        <v>399</v>
      </c>
    </row>
    <row r="9" ht="16.5" customHeight="1">
      <c r="B9" s="108" t="s">
        <v>400</v>
      </c>
      <c r="C9" s="109" t="s">
        <v>401</v>
      </c>
      <c r="D9" s="108" t="s">
        <v>402</v>
      </c>
      <c r="E9" s="108" t="s">
        <v>403</v>
      </c>
      <c r="G9" s="43"/>
    </row>
    <row r="10" ht="14.25" customHeight="1">
      <c r="B10" s="43"/>
      <c r="C10" s="43"/>
      <c r="D10" s="43"/>
      <c r="E10" s="43"/>
      <c r="F10" s="43"/>
      <c r="G10" s="43"/>
    </row>
    <row r="11" ht="16.5" customHeight="1">
      <c r="B11" s="43"/>
      <c r="C11" s="43"/>
      <c r="D11" s="43"/>
      <c r="E11" s="43"/>
      <c r="F11" s="43"/>
      <c r="G11" s="43"/>
    </row>
    <row r="12" ht="18.0" customHeight="1">
      <c r="B12" s="43"/>
      <c r="C12" s="43"/>
      <c r="D12" s="43"/>
      <c r="E12" s="43"/>
      <c r="F12" s="43"/>
      <c r="G12" s="43"/>
    </row>
    <row r="13">
      <c r="B13" s="110" t="s">
        <v>404</v>
      </c>
      <c r="C13" s="57"/>
      <c r="D13" s="43"/>
      <c r="E13" s="43"/>
      <c r="F13" s="43"/>
      <c r="G13" s="43"/>
    </row>
    <row r="14" ht="16.5" customHeight="1">
      <c r="B14" s="111" t="s">
        <v>117</v>
      </c>
      <c r="C14" s="111" t="s">
        <v>388</v>
      </c>
      <c r="D14" s="111" t="s">
        <v>389</v>
      </c>
      <c r="E14" s="111" t="s">
        <v>233</v>
      </c>
      <c r="F14" s="43"/>
      <c r="G14" s="43"/>
    </row>
    <row r="15" ht="18.0" customHeight="1">
      <c r="B15" s="33" t="s">
        <v>390</v>
      </c>
      <c r="C15" s="35" t="s">
        <v>405</v>
      </c>
      <c r="D15" s="33" t="s">
        <v>406</v>
      </c>
      <c r="E15" s="112">
        <v>1699030.0</v>
      </c>
      <c r="F15" s="43"/>
      <c r="G15" s="43"/>
    </row>
    <row r="16" ht="14.25" customHeight="1">
      <c r="B16" s="33" t="s">
        <v>393</v>
      </c>
      <c r="C16" s="35" t="s">
        <v>407</v>
      </c>
      <c r="D16" s="33" t="s">
        <v>408</v>
      </c>
      <c r="E16" s="112">
        <v>1499030.0</v>
      </c>
      <c r="F16" s="43"/>
      <c r="G16" s="43"/>
    </row>
    <row r="17" ht="14.25" customHeight="1">
      <c r="B17" s="33" t="s">
        <v>396</v>
      </c>
      <c r="C17" s="35" t="s">
        <v>409</v>
      </c>
      <c r="D17" s="33" t="s">
        <v>410</v>
      </c>
      <c r="E17" s="109" t="s">
        <v>411</v>
      </c>
      <c r="F17" s="43"/>
      <c r="H17" s="113"/>
    </row>
    <row r="18" ht="26.25" customHeight="1">
      <c r="B18" s="33" t="s">
        <v>400</v>
      </c>
      <c r="C18" s="35" t="s">
        <v>412</v>
      </c>
      <c r="D18" s="33" t="s">
        <v>413</v>
      </c>
      <c r="E18" s="109" t="s">
        <v>414</v>
      </c>
      <c r="H18" s="76"/>
    </row>
    <row r="19" ht="14.25" customHeight="1">
      <c r="H19" s="76"/>
    </row>
    <row r="20" ht="14.25" customHeight="1">
      <c r="H20" s="76"/>
    </row>
    <row r="21" ht="14.25" customHeight="1"/>
    <row r="22" ht="14.25" customHeight="1"/>
    <row r="23">
      <c r="B23" s="110" t="s">
        <v>415</v>
      </c>
      <c r="C23" s="57"/>
    </row>
    <row r="24">
      <c r="B24" s="111" t="s">
        <v>117</v>
      </c>
      <c r="C24" s="111" t="s">
        <v>388</v>
      </c>
      <c r="D24" s="111" t="s">
        <v>389</v>
      </c>
      <c r="E24" s="111" t="s">
        <v>233</v>
      </c>
    </row>
    <row r="25">
      <c r="B25" s="33" t="s">
        <v>390</v>
      </c>
      <c r="C25" s="35" t="s">
        <v>416</v>
      </c>
      <c r="D25" s="33" t="s">
        <v>417</v>
      </c>
      <c r="E25" s="114">
        <v>939999.0</v>
      </c>
    </row>
    <row r="26">
      <c r="B26" s="33" t="s">
        <v>393</v>
      </c>
      <c r="C26" s="35" t="s">
        <v>418</v>
      </c>
      <c r="D26" s="33" t="s">
        <v>419</v>
      </c>
      <c r="E26" s="114">
        <v>1699030.0</v>
      </c>
    </row>
    <row r="27">
      <c r="B27" s="33" t="s">
        <v>396</v>
      </c>
      <c r="C27" s="35" t="s">
        <v>420</v>
      </c>
      <c r="D27" s="33" t="s">
        <v>421</v>
      </c>
      <c r="E27" s="109" t="s">
        <v>422</v>
      </c>
    </row>
    <row r="28" ht="14.25" customHeight="1">
      <c r="B28" s="33" t="s">
        <v>400</v>
      </c>
      <c r="C28" s="35" t="s">
        <v>401</v>
      </c>
      <c r="D28" s="33" t="s">
        <v>423</v>
      </c>
      <c r="E28" s="109" t="s">
        <v>403</v>
      </c>
      <c r="G28" s="115"/>
    </row>
    <row r="29" ht="14.25" customHeight="1">
      <c r="G29" s="115"/>
    </row>
    <row r="30" ht="14.25" customHeight="1">
      <c r="G30" s="115"/>
    </row>
    <row r="31" ht="14.25" customHeight="1"/>
    <row r="32" ht="14.25" customHeight="1"/>
    <row r="33" ht="14.25" customHeight="1"/>
    <row r="34" ht="14.25" hidden="1" customHeight="1"/>
    <row r="35" ht="18.75" customHeight="1"/>
    <row r="36" ht="15.75" customHeight="1"/>
    <row r="40" ht="12.75" customHeight="1"/>
    <row r="41" ht="16.5" customHeight="1"/>
    <row r="42">
      <c r="I42" s="76"/>
      <c r="J42" s="83"/>
    </row>
    <row r="43" ht="16.5" customHeight="1">
      <c r="I43" s="76"/>
      <c r="J43" s="83"/>
    </row>
    <row r="44" ht="18.0" customHeight="1">
      <c r="I44" s="76"/>
      <c r="J44" s="83"/>
    </row>
    <row r="45" ht="15.75" customHeight="1">
      <c r="I45" s="116"/>
      <c r="J45" s="83"/>
    </row>
    <row r="46" ht="15.75" customHeight="1"/>
    <row r="47" ht="16.5" customHeight="1"/>
    <row r="48" ht="16.5" customHeight="1"/>
    <row r="49" ht="16.5" customHeight="1"/>
    <row r="50" ht="17.25" customHeight="1"/>
    <row r="51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E2"/>
    <mergeCell ref="D3:E3"/>
    <mergeCell ref="B4:C4"/>
    <mergeCell ref="B13:C13"/>
    <mergeCell ref="B23:C2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4.29"/>
    <col customWidth="1" min="3" max="3" width="25.14"/>
    <col customWidth="1" min="4" max="4" width="34.86"/>
    <col customWidth="1" min="5" max="5" width="52.57"/>
    <col customWidth="1" min="6" max="6" width="18.29"/>
    <col customWidth="1" min="7" max="7" width="16.57"/>
    <col customWidth="1" min="8" max="8" width="16.43"/>
    <col customWidth="1" min="9" max="9" width="11.43"/>
    <col customWidth="1" min="10" max="10" width="17.57"/>
    <col customWidth="1" min="11" max="11" width="11.43"/>
    <col customWidth="1" min="12" max="12" width="18.14"/>
    <col customWidth="1" min="13" max="26" width="11.43"/>
  </cols>
  <sheetData>
    <row r="1" ht="14.25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4.25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4.25" customHeight="1">
      <c r="A3" s="25"/>
      <c r="B3" s="117" t="s">
        <v>424</v>
      </c>
      <c r="C3" s="118"/>
      <c r="D3" s="118"/>
      <c r="E3" s="118"/>
      <c r="F3" s="118"/>
      <c r="G3" s="118"/>
      <c r="H3" s="11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4.25" customHeight="1">
      <c r="A4" s="25"/>
      <c r="B4" s="120"/>
      <c r="C4" s="121"/>
      <c r="D4" s="121"/>
      <c r="E4" s="121"/>
      <c r="F4" s="121"/>
      <c r="G4" s="121"/>
      <c r="H4" s="122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4.25" customHeight="1">
      <c r="A5" s="25"/>
      <c r="B5" s="9" t="s">
        <v>425</v>
      </c>
      <c r="C5" s="9" t="s">
        <v>426</v>
      </c>
      <c r="D5" s="9" t="s">
        <v>427</v>
      </c>
      <c r="E5" s="9" t="s">
        <v>428</v>
      </c>
      <c r="F5" s="9" t="s">
        <v>429</v>
      </c>
      <c r="G5" s="9" t="s">
        <v>430</v>
      </c>
      <c r="H5" s="9" t="s">
        <v>431</v>
      </c>
      <c r="I5" s="25"/>
      <c r="J5" s="12" t="s">
        <v>432</v>
      </c>
      <c r="K5" s="3"/>
      <c r="L5" s="4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123" t="s">
        <v>433</v>
      </c>
      <c r="C6" s="22" t="s">
        <v>434</v>
      </c>
      <c r="D6" s="22" t="s">
        <v>435</v>
      </c>
      <c r="E6" s="33" t="s">
        <v>436</v>
      </c>
      <c r="F6" s="22" t="s">
        <v>437</v>
      </c>
      <c r="G6" s="124">
        <v>2500000.0</v>
      </c>
      <c r="H6" s="124">
        <v>1.5E7</v>
      </c>
      <c r="I6" s="25"/>
      <c r="J6" s="20">
        <f>SUM(H6,H7,H8)</f>
        <v>45000000</v>
      </c>
      <c r="K6" s="3"/>
      <c r="L6" s="4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123" t="s">
        <v>438</v>
      </c>
      <c r="C7" s="22" t="s">
        <v>439</v>
      </c>
      <c r="D7" s="22" t="s">
        <v>440</v>
      </c>
      <c r="E7" s="33" t="s">
        <v>441</v>
      </c>
      <c r="F7" s="22" t="s">
        <v>437</v>
      </c>
      <c r="G7" s="124">
        <v>2500000.0</v>
      </c>
      <c r="H7" s="124">
        <v>1.5E7</v>
      </c>
      <c r="I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123" t="s">
        <v>442</v>
      </c>
      <c r="C8" s="22" t="s">
        <v>443</v>
      </c>
      <c r="D8" s="22" t="s">
        <v>443</v>
      </c>
      <c r="E8" s="33" t="s">
        <v>444</v>
      </c>
      <c r="F8" s="22" t="s">
        <v>437</v>
      </c>
      <c r="G8" s="124">
        <v>2500000.0</v>
      </c>
      <c r="H8" s="124">
        <v>1.5E7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4.25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4.2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3">
    <mergeCell ref="B3:H4"/>
    <mergeCell ref="J5:L5"/>
    <mergeCell ref="J6:L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2025-08-25T15:32:28Z</dcterms:created>
  <dc:creator>openpyxl</dc:creator>
</cp:coreProperties>
</file>